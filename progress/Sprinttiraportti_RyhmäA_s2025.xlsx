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onion\Desktop\proj2025\projekti\progress\"/>
    </mc:Choice>
  </mc:AlternateContent>
  <xr:revisionPtr revIDLastSave="0" documentId="13_ncr:1_{8E1DF594-731B-48A9-AA42-EE91361FE358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printti 1" sheetId="1" r:id="rId1"/>
    <sheet name="Sprintti 2" sheetId="2" r:id="rId2"/>
    <sheet name="Sprintti 3" sheetId="3" r:id="rId3"/>
    <sheet name="Työaika ryhmä" sheetId="4" r:id="rId4"/>
    <sheet name="Työaika jäsen 1" sheetId="5" r:id="rId5"/>
    <sheet name="Työaika jäsen 2" sheetId="6" r:id="rId6"/>
    <sheet name="Työaika jäsen 3" sheetId="7" r:id="rId7"/>
    <sheet name="Työaika jäsen 4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LsP3Qfc6YHL+YIDkPuFm+Wy6jkLc1Lfqpfv9jUSo878="/>
    </ext>
  </extLst>
</workbook>
</file>

<file path=xl/calcChain.xml><?xml version="1.0" encoding="utf-8"?>
<calcChain xmlns="http://schemas.openxmlformats.org/spreadsheetml/2006/main">
  <c r="L61" i="8" l="1"/>
  <c r="K61" i="8"/>
  <c r="J61" i="8"/>
  <c r="I61" i="8"/>
  <c r="H61" i="8"/>
  <c r="G61" i="8"/>
  <c r="F61" i="8"/>
  <c r="E61" i="8"/>
  <c r="D61" i="8"/>
  <c r="C61" i="8"/>
  <c r="B60" i="8"/>
  <c r="B59" i="8"/>
  <c r="B58" i="8"/>
  <c r="B57" i="8"/>
  <c r="B56" i="8"/>
  <c r="B55" i="8"/>
  <c r="B54" i="8"/>
  <c r="B53" i="8"/>
  <c r="B52" i="8"/>
  <c r="B51" i="8"/>
  <c r="B50" i="8"/>
  <c r="B49" i="8"/>
  <c r="B61" i="8" s="1"/>
  <c r="B48" i="8"/>
  <c r="B47" i="8"/>
  <c r="B46" i="8"/>
  <c r="L42" i="8"/>
  <c r="K42" i="8"/>
  <c r="J42" i="8"/>
  <c r="I42" i="8"/>
  <c r="H42" i="8"/>
  <c r="G42" i="8"/>
  <c r="F42" i="8"/>
  <c r="E42" i="8"/>
  <c r="D42" i="8"/>
  <c r="C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42" i="8" s="1"/>
  <c r="J24" i="8"/>
  <c r="J43" i="8" s="1"/>
  <c r="J62" i="8" s="1"/>
  <c r="H24" i="8"/>
  <c r="H43" i="8" s="1"/>
  <c r="H62" i="8" s="1"/>
  <c r="F24" i="8"/>
  <c r="F43" i="8" s="1"/>
  <c r="F62" i="8" s="1"/>
  <c r="L23" i="8"/>
  <c r="L24" i="8" s="1"/>
  <c r="L43" i="8" s="1"/>
  <c r="L62" i="8" s="1"/>
  <c r="K23" i="8"/>
  <c r="K24" i="8" s="1"/>
  <c r="K43" i="8" s="1"/>
  <c r="K62" i="8" s="1"/>
  <c r="J23" i="8"/>
  <c r="I23" i="8"/>
  <c r="I24" i="8" s="1"/>
  <c r="I43" i="8" s="1"/>
  <c r="I62" i="8" s="1"/>
  <c r="H23" i="8"/>
  <c r="G23" i="8"/>
  <c r="G24" i="8" s="1"/>
  <c r="G43" i="8" s="1"/>
  <c r="G62" i="8" s="1"/>
  <c r="F23" i="8"/>
  <c r="E23" i="8"/>
  <c r="E24" i="8" s="1"/>
  <c r="E43" i="8" s="1"/>
  <c r="E62" i="8" s="1"/>
  <c r="D23" i="8"/>
  <c r="D24" i="8" s="1"/>
  <c r="D43" i="8" s="1"/>
  <c r="D62" i="8" s="1"/>
  <c r="C23" i="8"/>
  <c r="C24" i="8" s="1"/>
  <c r="C43" i="8" s="1"/>
  <c r="C62" i="8" s="1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23" i="8" s="1"/>
  <c r="B24" i="8" s="1"/>
  <c r="B43" i="8" s="1"/>
  <c r="B62" i="8" s="1"/>
  <c r="L61" i="7"/>
  <c r="K61" i="7"/>
  <c r="J61" i="7"/>
  <c r="I61" i="7"/>
  <c r="H61" i="7"/>
  <c r="G61" i="7"/>
  <c r="F61" i="7"/>
  <c r="E61" i="7"/>
  <c r="D61" i="7"/>
  <c r="C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61" i="7" s="1"/>
  <c r="L42" i="7"/>
  <c r="K42" i="7"/>
  <c r="J42" i="7"/>
  <c r="I42" i="7"/>
  <c r="H42" i="7"/>
  <c r="G42" i="7"/>
  <c r="F42" i="7"/>
  <c r="E42" i="7"/>
  <c r="D42" i="7"/>
  <c r="C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42" i="7" s="1"/>
  <c r="B28" i="7"/>
  <c r="B27" i="7"/>
  <c r="K24" i="7"/>
  <c r="K43" i="7" s="1"/>
  <c r="K62" i="7" s="1"/>
  <c r="I24" i="7"/>
  <c r="I43" i="7" s="1"/>
  <c r="I62" i="7" s="1"/>
  <c r="F24" i="7"/>
  <c r="F43" i="7" s="1"/>
  <c r="F62" i="7" s="1"/>
  <c r="D24" i="7"/>
  <c r="D43" i="7" s="1"/>
  <c r="D62" i="7" s="1"/>
  <c r="L23" i="7"/>
  <c r="L24" i="7" s="1"/>
  <c r="L43" i="7" s="1"/>
  <c r="L62" i="7" s="1"/>
  <c r="K23" i="7"/>
  <c r="J23" i="7"/>
  <c r="J24" i="7" s="1"/>
  <c r="J43" i="7" s="1"/>
  <c r="J62" i="7" s="1"/>
  <c r="I23" i="7"/>
  <c r="H23" i="7"/>
  <c r="H24" i="7" s="1"/>
  <c r="H43" i="7" s="1"/>
  <c r="H62" i="7" s="1"/>
  <c r="G23" i="7"/>
  <c r="G24" i="7" s="1"/>
  <c r="G43" i="7" s="1"/>
  <c r="G62" i="7" s="1"/>
  <c r="F23" i="7"/>
  <c r="E23" i="7"/>
  <c r="E24" i="7" s="1"/>
  <c r="E43" i="7" s="1"/>
  <c r="E62" i="7" s="1"/>
  <c r="D23" i="7"/>
  <c r="C23" i="7"/>
  <c r="C24" i="7" s="1"/>
  <c r="C43" i="7" s="1"/>
  <c r="C62" i="7" s="1"/>
  <c r="B22" i="7"/>
  <c r="B21" i="7"/>
  <c r="B20" i="7"/>
  <c r="B19" i="7"/>
  <c r="B18" i="7"/>
  <c r="B17" i="7"/>
  <c r="B16" i="7"/>
  <c r="B15" i="7"/>
  <c r="B14" i="7"/>
  <c r="B13" i="7"/>
  <c r="B12" i="7"/>
  <c r="B11" i="7"/>
  <c r="B23" i="7" s="1"/>
  <c r="B24" i="7" s="1"/>
  <c r="B10" i="7"/>
  <c r="B9" i="7"/>
  <c r="B8" i="7"/>
  <c r="L61" i="6"/>
  <c r="K61" i="6"/>
  <c r="J61" i="6"/>
  <c r="I61" i="6"/>
  <c r="H61" i="6"/>
  <c r="G61" i="6"/>
  <c r="F61" i="6"/>
  <c r="E61" i="6"/>
  <c r="D61" i="6"/>
  <c r="C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61" i="6" s="1"/>
  <c r="L42" i="6"/>
  <c r="K42" i="6"/>
  <c r="J42" i="6"/>
  <c r="I42" i="6"/>
  <c r="H42" i="6"/>
  <c r="G42" i="6"/>
  <c r="F42" i="6"/>
  <c r="E42" i="6"/>
  <c r="D42" i="6"/>
  <c r="C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42" i="6" s="1"/>
  <c r="B27" i="6"/>
  <c r="L24" i="6"/>
  <c r="L43" i="6" s="1"/>
  <c r="L62" i="6" s="1"/>
  <c r="I24" i="6"/>
  <c r="I43" i="6" s="1"/>
  <c r="I62" i="6" s="1"/>
  <c r="G24" i="6"/>
  <c r="G43" i="6" s="1"/>
  <c r="G62" i="6" s="1"/>
  <c r="D24" i="6"/>
  <c r="D43" i="6" s="1"/>
  <c r="D62" i="6" s="1"/>
  <c r="L23" i="6"/>
  <c r="K23" i="6"/>
  <c r="K24" i="6" s="1"/>
  <c r="K43" i="6" s="1"/>
  <c r="K62" i="6" s="1"/>
  <c r="J23" i="6"/>
  <c r="J24" i="6" s="1"/>
  <c r="J43" i="6" s="1"/>
  <c r="J62" i="6" s="1"/>
  <c r="I23" i="6"/>
  <c r="H23" i="6"/>
  <c r="H24" i="6" s="1"/>
  <c r="H43" i="6" s="1"/>
  <c r="H62" i="6" s="1"/>
  <c r="G23" i="6"/>
  <c r="F23" i="6"/>
  <c r="F24" i="6" s="1"/>
  <c r="F43" i="6" s="1"/>
  <c r="F62" i="6" s="1"/>
  <c r="E23" i="6"/>
  <c r="E24" i="6" s="1"/>
  <c r="E43" i="6" s="1"/>
  <c r="E62" i="6" s="1"/>
  <c r="D23" i="6"/>
  <c r="C23" i="6"/>
  <c r="C24" i="6" s="1"/>
  <c r="C43" i="6" s="1"/>
  <c r="C62" i="6" s="1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23" i="6" s="1"/>
  <c r="B24" i="6" s="1"/>
  <c r="B43" i="6" s="1"/>
  <c r="B62" i="6" s="1"/>
  <c r="B9" i="6"/>
  <c r="B8" i="6"/>
  <c r="L61" i="5"/>
  <c r="K61" i="5"/>
  <c r="J61" i="5"/>
  <c r="I61" i="5"/>
  <c r="H61" i="5"/>
  <c r="G61" i="5"/>
  <c r="F61" i="5"/>
  <c r="E61" i="5"/>
  <c r="D61" i="5"/>
  <c r="C61" i="5"/>
  <c r="B60" i="5"/>
  <c r="B59" i="5"/>
  <c r="B58" i="5"/>
  <c r="B57" i="5"/>
  <c r="B56" i="5"/>
  <c r="B55" i="5"/>
  <c r="B54" i="5"/>
  <c r="B53" i="5"/>
  <c r="B52" i="5"/>
  <c r="B51" i="5"/>
  <c r="B50" i="5"/>
  <c r="B49" i="5"/>
  <c r="B61" i="5" s="1"/>
  <c r="B48" i="5"/>
  <c r="B47" i="5"/>
  <c r="B46" i="5"/>
  <c r="L42" i="5"/>
  <c r="K42" i="5"/>
  <c r="J42" i="5"/>
  <c r="I42" i="5"/>
  <c r="H42" i="5"/>
  <c r="G42" i="5"/>
  <c r="F42" i="5"/>
  <c r="E42" i="5"/>
  <c r="D42" i="5"/>
  <c r="C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42" i="5" s="1"/>
  <c r="E24" i="5"/>
  <c r="E43" i="5" s="1"/>
  <c r="E62" i="5" s="1"/>
  <c r="C24" i="5"/>
  <c r="C43" i="5" s="1"/>
  <c r="C62" i="5" s="1"/>
  <c r="L23" i="5"/>
  <c r="L24" i="5" s="1"/>
  <c r="L43" i="5" s="1"/>
  <c r="L62" i="5" s="1"/>
  <c r="K23" i="5"/>
  <c r="K24" i="5" s="1"/>
  <c r="K43" i="5" s="1"/>
  <c r="K62" i="5" s="1"/>
  <c r="J23" i="5"/>
  <c r="J24" i="5" s="1"/>
  <c r="J43" i="5" s="1"/>
  <c r="J62" i="5" s="1"/>
  <c r="I23" i="5"/>
  <c r="I24" i="5" s="1"/>
  <c r="I43" i="5" s="1"/>
  <c r="I62" i="5" s="1"/>
  <c r="H23" i="5"/>
  <c r="H24" i="5" s="1"/>
  <c r="H43" i="5" s="1"/>
  <c r="H62" i="5" s="1"/>
  <c r="G23" i="5"/>
  <c r="G24" i="5" s="1"/>
  <c r="G43" i="5" s="1"/>
  <c r="G62" i="5" s="1"/>
  <c r="F23" i="5"/>
  <c r="F24" i="5" s="1"/>
  <c r="F43" i="5" s="1"/>
  <c r="F62" i="5" s="1"/>
  <c r="E23" i="5"/>
  <c r="D23" i="5"/>
  <c r="D24" i="5" s="1"/>
  <c r="D43" i="5" s="1"/>
  <c r="D62" i="5" s="1"/>
  <c r="C23" i="5"/>
  <c r="B22" i="5"/>
  <c r="B21" i="5"/>
  <c r="B20" i="5"/>
  <c r="B19" i="5"/>
  <c r="B18" i="5"/>
  <c r="B17" i="5"/>
  <c r="B16" i="5"/>
  <c r="B15" i="5"/>
  <c r="B14" i="5"/>
  <c r="B13" i="5"/>
  <c r="B12" i="5"/>
  <c r="B11" i="5"/>
  <c r="B9" i="4" s="1"/>
  <c r="B10" i="5"/>
  <c r="B8" i="4" s="1"/>
  <c r="F8" i="4" s="1"/>
  <c r="B9" i="5"/>
  <c r="B8" i="5"/>
  <c r="R58" i="4"/>
  <c r="Q58" i="4"/>
  <c r="P58" i="4"/>
  <c r="O58" i="4"/>
  <c r="N58" i="4"/>
  <c r="M58" i="4"/>
  <c r="L58" i="4"/>
  <c r="K58" i="4"/>
  <c r="J58" i="4"/>
  <c r="I58" i="4"/>
  <c r="S58" i="4" s="1"/>
  <c r="E58" i="4"/>
  <c r="D58" i="4"/>
  <c r="C58" i="4"/>
  <c r="B58" i="4"/>
  <c r="F58" i="4" s="1"/>
  <c r="R57" i="4"/>
  <c r="Q57" i="4"/>
  <c r="P57" i="4"/>
  <c r="O57" i="4"/>
  <c r="N57" i="4"/>
  <c r="M57" i="4"/>
  <c r="L57" i="4"/>
  <c r="K57" i="4"/>
  <c r="J57" i="4"/>
  <c r="I57" i="4"/>
  <c r="S57" i="4" s="1"/>
  <c r="F57" i="4"/>
  <c r="E57" i="4"/>
  <c r="D57" i="4"/>
  <c r="C57" i="4"/>
  <c r="B57" i="4"/>
  <c r="R56" i="4"/>
  <c r="Q56" i="4"/>
  <c r="P56" i="4"/>
  <c r="O56" i="4"/>
  <c r="N56" i="4"/>
  <c r="M56" i="4"/>
  <c r="L56" i="4"/>
  <c r="K56" i="4"/>
  <c r="J56" i="4"/>
  <c r="S56" i="4" s="1"/>
  <c r="I56" i="4"/>
  <c r="E56" i="4"/>
  <c r="D56" i="4"/>
  <c r="C56" i="4"/>
  <c r="F56" i="4" s="1"/>
  <c r="B56" i="4"/>
  <c r="R55" i="4"/>
  <c r="Q55" i="4"/>
  <c r="P55" i="4"/>
  <c r="O55" i="4"/>
  <c r="N55" i="4"/>
  <c r="M55" i="4"/>
  <c r="L55" i="4"/>
  <c r="K55" i="4"/>
  <c r="J55" i="4"/>
  <c r="I55" i="4"/>
  <c r="S55" i="4" s="1"/>
  <c r="E55" i="4"/>
  <c r="D55" i="4"/>
  <c r="C55" i="4"/>
  <c r="B55" i="4"/>
  <c r="F55" i="4" s="1"/>
  <c r="R54" i="4"/>
  <c r="Q54" i="4"/>
  <c r="P54" i="4"/>
  <c r="O54" i="4"/>
  <c r="N54" i="4"/>
  <c r="M54" i="4"/>
  <c r="L54" i="4"/>
  <c r="K54" i="4"/>
  <c r="J54" i="4"/>
  <c r="I54" i="4"/>
  <c r="S54" i="4" s="1"/>
  <c r="F54" i="4"/>
  <c r="E54" i="4"/>
  <c r="D54" i="4"/>
  <c r="C54" i="4"/>
  <c r="B54" i="4"/>
  <c r="R53" i="4"/>
  <c r="Q53" i="4"/>
  <c r="P53" i="4"/>
  <c r="O53" i="4"/>
  <c r="N53" i="4"/>
  <c r="M53" i="4"/>
  <c r="L53" i="4"/>
  <c r="S53" i="4" s="1"/>
  <c r="K53" i="4"/>
  <c r="J53" i="4"/>
  <c r="I53" i="4"/>
  <c r="E53" i="4"/>
  <c r="D53" i="4"/>
  <c r="C53" i="4"/>
  <c r="F53" i="4" s="1"/>
  <c r="B53" i="4"/>
  <c r="R52" i="4"/>
  <c r="Q52" i="4"/>
  <c r="P52" i="4"/>
  <c r="O52" i="4"/>
  <c r="N52" i="4"/>
  <c r="M52" i="4"/>
  <c r="L52" i="4"/>
  <c r="K52" i="4"/>
  <c r="J52" i="4"/>
  <c r="I52" i="4"/>
  <c r="S52" i="4" s="1"/>
  <c r="E52" i="4"/>
  <c r="D52" i="4"/>
  <c r="C52" i="4"/>
  <c r="B52" i="4"/>
  <c r="F52" i="4" s="1"/>
  <c r="R51" i="4"/>
  <c r="Q51" i="4"/>
  <c r="P51" i="4"/>
  <c r="O51" i="4"/>
  <c r="N51" i="4"/>
  <c r="M51" i="4"/>
  <c r="L51" i="4"/>
  <c r="K51" i="4"/>
  <c r="J51" i="4"/>
  <c r="I51" i="4"/>
  <c r="S51" i="4" s="1"/>
  <c r="F51" i="4"/>
  <c r="E51" i="4"/>
  <c r="D51" i="4"/>
  <c r="C51" i="4"/>
  <c r="B51" i="4"/>
  <c r="R50" i="4"/>
  <c r="Q50" i="4"/>
  <c r="P50" i="4"/>
  <c r="O50" i="4"/>
  <c r="N50" i="4"/>
  <c r="M50" i="4"/>
  <c r="L50" i="4"/>
  <c r="S50" i="4" s="1"/>
  <c r="K50" i="4"/>
  <c r="J50" i="4"/>
  <c r="I50" i="4"/>
  <c r="E50" i="4"/>
  <c r="D50" i="4"/>
  <c r="C50" i="4"/>
  <c r="F50" i="4" s="1"/>
  <c r="B50" i="4"/>
  <c r="R49" i="4"/>
  <c r="Q49" i="4"/>
  <c r="P49" i="4"/>
  <c r="O49" i="4"/>
  <c r="N49" i="4"/>
  <c r="M49" i="4"/>
  <c r="L49" i="4"/>
  <c r="K49" i="4"/>
  <c r="J49" i="4"/>
  <c r="I49" i="4"/>
  <c r="S49" i="4" s="1"/>
  <c r="E49" i="4"/>
  <c r="D49" i="4"/>
  <c r="C49" i="4"/>
  <c r="B49" i="4"/>
  <c r="F49" i="4" s="1"/>
  <c r="R48" i="4"/>
  <c r="Q48" i="4"/>
  <c r="P48" i="4"/>
  <c r="O48" i="4"/>
  <c r="N48" i="4"/>
  <c r="M48" i="4"/>
  <c r="L48" i="4"/>
  <c r="K48" i="4"/>
  <c r="J48" i="4"/>
  <c r="I48" i="4"/>
  <c r="S48" i="4" s="1"/>
  <c r="F48" i="4"/>
  <c r="E48" i="4"/>
  <c r="D48" i="4"/>
  <c r="C48" i="4"/>
  <c r="B48" i="4"/>
  <c r="R47" i="4"/>
  <c r="Q47" i="4"/>
  <c r="P47" i="4"/>
  <c r="O47" i="4"/>
  <c r="N47" i="4"/>
  <c r="M47" i="4"/>
  <c r="L47" i="4"/>
  <c r="S47" i="4" s="1"/>
  <c r="K47" i="4"/>
  <c r="J47" i="4"/>
  <c r="I47" i="4"/>
  <c r="E47" i="4"/>
  <c r="D47" i="4"/>
  <c r="C47" i="4"/>
  <c r="F47" i="4" s="1"/>
  <c r="B47" i="4"/>
  <c r="R46" i="4"/>
  <c r="Q46" i="4"/>
  <c r="P46" i="4"/>
  <c r="O46" i="4"/>
  <c r="N46" i="4"/>
  <c r="M46" i="4"/>
  <c r="L46" i="4"/>
  <c r="K46" i="4"/>
  <c r="J46" i="4"/>
  <c r="I46" i="4"/>
  <c r="S46" i="4" s="1"/>
  <c r="E46" i="4"/>
  <c r="D46" i="4"/>
  <c r="C46" i="4"/>
  <c r="B46" i="4"/>
  <c r="F46" i="4" s="1"/>
  <c r="R45" i="4"/>
  <c r="Q45" i="4"/>
  <c r="P45" i="4"/>
  <c r="O45" i="4"/>
  <c r="N45" i="4"/>
  <c r="M45" i="4"/>
  <c r="L45" i="4"/>
  <c r="K45" i="4"/>
  <c r="J45" i="4"/>
  <c r="I45" i="4"/>
  <c r="S45" i="4" s="1"/>
  <c r="F45" i="4"/>
  <c r="E45" i="4"/>
  <c r="D45" i="4"/>
  <c r="C45" i="4"/>
  <c r="B45" i="4"/>
  <c r="R44" i="4"/>
  <c r="R59" i="4" s="1"/>
  <c r="Y27" i="3" s="1"/>
  <c r="Q44" i="4"/>
  <c r="Q59" i="4" s="1"/>
  <c r="Y26" i="3" s="1"/>
  <c r="P44" i="4"/>
  <c r="P59" i="4" s="1"/>
  <c r="Y25" i="3" s="1"/>
  <c r="O44" i="4"/>
  <c r="O59" i="4" s="1"/>
  <c r="Y24" i="3" s="1"/>
  <c r="N44" i="4"/>
  <c r="N59" i="4" s="1"/>
  <c r="Y23" i="3" s="1"/>
  <c r="M44" i="4"/>
  <c r="M59" i="4" s="1"/>
  <c r="Y22" i="3" s="1"/>
  <c r="L44" i="4"/>
  <c r="L59" i="4" s="1"/>
  <c r="Y21" i="3" s="1"/>
  <c r="K44" i="4"/>
  <c r="K59" i="4" s="1"/>
  <c r="Y20" i="3" s="1"/>
  <c r="J44" i="4"/>
  <c r="J59" i="4" s="1"/>
  <c r="Y19" i="3" s="1"/>
  <c r="I44" i="4"/>
  <c r="I59" i="4" s="1"/>
  <c r="Y18" i="3" s="1"/>
  <c r="E44" i="4"/>
  <c r="E59" i="4" s="1"/>
  <c r="D44" i="4"/>
  <c r="D59" i="4" s="1"/>
  <c r="C44" i="4"/>
  <c r="F44" i="4" s="1"/>
  <c r="B44" i="4"/>
  <c r="B59" i="4" s="1"/>
  <c r="R39" i="4"/>
  <c r="Q39" i="4"/>
  <c r="P39" i="4"/>
  <c r="O39" i="4"/>
  <c r="N39" i="4"/>
  <c r="M39" i="4"/>
  <c r="S39" i="4" s="1"/>
  <c r="L39" i="4"/>
  <c r="K39" i="4"/>
  <c r="J39" i="4"/>
  <c r="I39" i="4"/>
  <c r="E39" i="4"/>
  <c r="D39" i="4"/>
  <c r="C39" i="4"/>
  <c r="B39" i="4"/>
  <c r="F39" i="4" s="1"/>
  <c r="R38" i="4"/>
  <c r="Q38" i="4"/>
  <c r="S38" i="4" s="1"/>
  <c r="P38" i="4"/>
  <c r="O38" i="4"/>
  <c r="N38" i="4"/>
  <c r="M38" i="4"/>
  <c r="L38" i="4"/>
  <c r="K38" i="4"/>
  <c r="J38" i="4"/>
  <c r="I38" i="4"/>
  <c r="E38" i="4"/>
  <c r="D38" i="4"/>
  <c r="C38" i="4"/>
  <c r="F38" i="4" s="1"/>
  <c r="B38" i="4"/>
  <c r="R37" i="4"/>
  <c r="Q37" i="4"/>
  <c r="P37" i="4"/>
  <c r="O37" i="4"/>
  <c r="N37" i="4"/>
  <c r="M37" i="4"/>
  <c r="L37" i="4"/>
  <c r="K37" i="4"/>
  <c r="J37" i="4"/>
  <c r="I37" i="4"/>
  <c r="S37" i="4" s="1"/>
  <c r="E37" i="4"/>
  <c r="D37" i="4"/>
  <c r="C37" i="4"/>
  <c r="B37" i="4"/>
  <c r="F37" i="4" s="1"/>
  <c r="R36" i="4"/>
  <c r="Q36" i="4"/>
  <c r="P36" i="4"/>
  <c r="O36" i="4"/>
  <c r="N36" i="4"/>
  <c r="M36" i="4"/>
  <c r="S36" i="4" s="1"/>
  <c r="L36" i="4"/>
  <c r="K36" i="4"/>
  <c r="J36" i="4"/>
  <c r="I36" i="4"/>
  <c r="E36" i="4"/>
  <c r="D36" i="4"/>
  <c r="C36" i="4"/>
  <c r="B36" i="4"/>
  <c r="F36" i="4" s="1"/>
  <c r="R35" i="4"/>
  <c r="Q35" i="4"/>
  <c r="S35" i="4" s="1"/>
  <c r="P35" i="4"/>
  <c r="O35" i="4"/>
  <c r="N35" i="4"/>
  <c r="M35" i="4"/>
  <c r="L35" i="4"/>
  <c r="K35" i="4"/>
  <c r="J35" i="4"/>
  <c r="I35" i="4"/>
  <c r="E35" i="4"/>
  <c r="D35" i="4"/>
  <c r="C35" i="4"/>
  <c r="F35" i="4" s="1"/>
  <c r="B35" i="4"/>
  <c r="R34" i="4"/>
  <c r="Q34" i="4"/>
  <c r="P34" i="4"/>
  <c r="O34" i="4"/>
  <c r="N34" i="4"/>
  <c r="M34" i="4"/>
  <c r="L34" i="4"/>
  <c r="K34" i="4"/>
  <c r="J34" i="4"/>
  <c r="I34" i="4"/>
  <c r="S34" i="4" s="1"/>
  <c r="E34" i="4"/>
  <c r="D34" i="4"/>
  <c r="C34" i="4"/>
  <c r="B34" i="4"/>
  <c r="F34" i="4" s="1"/>
  <c r="R33" i="4"/>
  <c r="Q33" i="4"/>
  <c r="P33" i="4"/>
  <c r="O33" i="4"/>
  <c r="N33" i="4"/>
  <c r="M33" i="4"/>
  <c r="L33" i="4"/>
  <c r="K33" i="4"/>
  <c r="J33" i="4"/>
  <c r="I33" i="4"/>
  <c r="S33" i="4" s="1"/>
  <c r="E33" i="4"/>
  <c r="D33" i="4"/>
  <c r="C33" i="4"/>
  <c r="B33" i="4"/>
  <c r="F33" i="4" s="1"/>
  <c r="R32" i="4"/>
  <c r="Q32" i="4"/>
  <c r="S32" i="4" s="1"/>
  <c r="P32" i="4"/>
  <c r="O32" i="4"/>
  <c r="N32" i="4"/>
  <c r="M32" i="4"/>
  <c r="L32" i="4"/>
  <c r="K32" i="4"/>
  <c r="J32" i="4"/>
  <c r="I32" i="4"/>
  <c r="E32" i="4"/>
  <c r="D32" i="4"/>
  <c r="C32" i="4"/>
  <c r="F32" i="4" s="1"/>
  <c r="B32" i="4"/>
  <c r="R31" i="4"/>
  <c r="Q31" i="4"/>
  <c r="P31" i="4"/>
  <c r="O31" i="4"/>
  <c r="N31" i="4"/>
  <c r="M31" i="4"/>
  <c r="L31" i="4"/>
  <c r="K31" i="4"/>
  <c r="J31" i="4"/>
  <c r="I31" i="4"/>
  <c r="S31" i="4" s="1"/>
  <c r="E31" i="4"/>
  <c r="D31" i="4"/>
  <c r="C31" i="4"/>
  <c r="B31" i="4"/>
  <c r="F31" i="4" s="1"/>
  <c r="R30" i="4"/>
  <c r="Q30" i="4"/>
  <c r="P30" i="4"/>
  <c r="O30" i="4"/>
  <c r="N30" i="4"/>
  <c r="M30" i="4"/>
  <c r="L30" i="4"/>
  <c r="K30" i="4"/>
  <c r="J30" i="4"/>
  <c r="I30" i="4"/>
  <c r="S30" i="4" s="1"/>
  <c r="E30" i="4"/>
  <c r="D30" i="4"/>
  <c r="C30" i="4"/>
  <c r="B30" i="4"/>
  <c r="F30" i="4" s="1"/>
  <c r="R29" i="4"/>
  <c r="Q29" i="4"/>
  <c r="S29" i="4" s="1"/>
  <c r="P29" i="4"/>
  <c r="O29" i="4"/>
  <c r="N29" i="4"/>
  <c r="M29" i="4"/>
  <c r="L29" i="4"/>
  <c r="K29" i="4"/>
  <c r="J29" i="4"/>
  <c r="I29" i="4"/>
  <c r="E29" i="4"/>
  <c r="D29" i="4"/>
  <c r="C29" i="4"/>
  <c r="F29" i="4" s="1"/>
  <c r="B29" i="4"/>
  <c r="R28" i="4"/>
  <c r="Q28" i="4"/>
  <c r="P28" i="4"/>
  <c r="O28" i="4"/>
  <c r="N28" i="4"/>
  <c r="M28" i="4"/>
  <c r="L28" i="4"/>
  <c r="K28" i="4"/>
  <c r="J28" i="4"/>
  <c r="I28" i="4"/>
  <c r="S28" i="4" s="1"/>
  <c r="E28" i="4"/>
  <c r="D28" i="4"/>
  <c r="C28" i="4"/>
  <c r="B28" i="4"/>
  <c r="F28" i="4" s="1"/>
  <c r="R27" i="4"/>
  <c r="Q27" i="4"/>
  <c r="P27" i="4"/>
  <c r="O27" i="4"/>
  <c r="N27" i="4"/>
  <c r="M27" i="4"/>
  <c r="L27" i="4"/>
  <c r="K27" i="4"/>
  <c r="J27" i="4"/>
  <c r="I27" i="4"/>
  <c r="S27" i="4" s="1"/>
  <c r="E27" i="4"/>
  <c r="D27" i="4"/>
  <c r="C27" i="4"/>
  <c r="B27" i="4"/>
  <c r="F27" i="4" s="1"/>
  <c r="R26" i="4"/>
  <c r="Q26" i="4"/>
  <c r="S26" i="4" s="1"/>
  <c r="P26" i="4"/>
  <c r="O26" i="4"/>
  <c r="N26" i="4"/>
  <c r="M26" i="4"/>
  <c r="L26" i="4"/>
  <c r="K26" i="4"/>
  <c r="J26" i="4"/>
  <c r="I26" i="4"/>
  <c r="E26" i="4"/>
  <c r="D26" i="4"/>
  <c r="C26" i="4"/>
  <c r="F26" i="4" s="1"/>
  <c r="B26" i="4"/>
  <c r="R25" i="4"/>
  <c r="R40" i="4" s="1"/>
  <c r="Y27" i="2" s="1"/>
  <c r="Q25" i="4"/>
  <c r="Q40" i="4" s="1"/>
  <c r="Y26" i="2" s="1"/>
  <c r="P25" i="4"/>
  <c r="P40" i="4" s="1"/>
  <c r="Y25" i="2" s="1"/>
  <c r="O25" i="4"/>
  <c r="O40" i="4" s="1"/>
  <c r="Y24" i="2" s="1"/>
  <c r="N25" i="4"/>
  <c r="N40" i="4" s="1"/>
  <c r="Y23" i="2" s="1"/>
  <c r="M25" i="4"/>
  <c r="M40" i="4" s="1"/>
  <c r="Y22" i="2" s="1"/>
  <c r="L25" i="4"/>
  <c r="L40" i="4" s="1"/>
  <c r="Y21" i="2" s="1"/>
  <c r="K25" i="4"/>
  <c r="K40" i="4" s="1"/>
  <c r="Y20" i="2" s="1"/>
  <c r="J25" i="4"/>
  <c r="J40" i="4" s="1"/>
  <c r="Y19" i="2" s="1"/>
  <c r="I25" i="4"/>
  <c r="I40" i="4" s="1"/>
  <c r="Y18" i="2" s="1"/>
  <c r="E25" i="4"/>
  <c r="E40" i="4" s="1"/>
  <c r="D25" i="4"/>
  <c r="D40" i="4" s="1"/>
  <c r="D41" i="4" s="1"/>
  <c r="C25" i="4"/>
  <c r="C40" i="4" s="1"/>
  <c r="B25" i="4"/>
  <c r="F25" i="4" s="1"/>
  <c r="F40" i="4" s="1"/>
  <c r="D22" i="4"/>
  <c r="R21" i="4"/>
  <c r="Y27" i="1" s="1"/>
  <c r="E21" i="4"/>
  <c r="E22" i="4" s="1"/>
  <c r="E41" i="4" s="1"/>
  <c r="E60" i="4" s="1"/>
  <c r="R20" i="4"/>
  <c r="Q20" i="4"/>
  <c r="P20" i="4"/>
  <c r="O20" i="4"/>
  <c r="N20" i="4"/>
  <c r="M20" i="4"/>
  <c r="L20" i="4"/>
  <c r="K20" i="4"/>
  <c r="J20" i="4"/>
  <c r="I20" i="4"/>
  <c r="S20" i="4" s="1"/>
  <c r="E20" i="4"/>
  <c r="D20" i="4"/>
  <c r="C20" i="4"/>
  <c r="B20" i="4"/>
  <c r="F20" i="4" s="1"/>
  <c r="R19" i="4"/>
  <c r="Q19" i="4"/>
  <c r="P19" i="4"/>
  <c r="O19" i="4"/>
  <c r="N19" i="4"/>
  <c r="M19" i="4"/>
  <c r="S19" i="4" s="1"/>
  <c r="L19" i="4"/>
  <c r="K19" i="4"/>
  <c r="J19" i="4"/>
  <c r="I19" i="4"/>
  <c r="E19" i="4"/>
  <c r="D19" i="4"/>
  <c r="C19" i="4"/>
  <c r="B19" i="4"/>
  <c r="F19" i="4" s="1"/>
  <c r="R18" i="4"/>
  <c r="Q18" i="4"/>
  <c r="S18" i="4" s="1"/>
  <c r="P18" i="4"/>
  <c r="O18" i="4"/>
  <c r="N18" i="4"/>
  <c r="M18" i="4"/>
  <c r="L18" i="4"/>
  <c r="K18" i="4"/>
  <c r="J18" i="4"/>
  <c r="I18" i="4"/>
  <c r="E18" i="4"/>
  <c r="D18" i="4"/>
  <c r="C18" i="4"/>
  <c r="F18" i="4" s="1"/>
  <c r="B18" i="4"/>
  <c r="R17" i="4"/>
  <c r="Q17" i="4"/>
  <c r="P17" i="4"/>
  <c r="O17" i="4"/>
  <c r="N17" i="4"/>
  <c r="M17" i="4"/>
  <c r="L17" i="4"/>
  <c r="K17" i="4"/>
  <c r="J17" i="4"/>
  <c r="I17" i="4"/>
  <c r="S17" i="4" s="1"/>
  <c r="E17" i="4"/>
  <c r="D17" i="4"/>
  <c r="C17" i="4"/>
  <c r="B17" i="4"/>
  <c r="F17" i="4" s="1"/>
  <c r="R16" i="4"/>
  <c r="Q16" i="4"/>
  <c r="P16" i="4"/>
  <c r="O16" i="4"/>
  <c r="N16" i="4"/>
  <c r="M16" i="4"/>
  <c r="S16" i="4" s="1"/>
  <c r="L16" i="4"/>
  <c r="K16" i="4"/>
  <c r="J16" i="4"/>
  <c r="I16" i="4"/>
  <c r="E16" i="4"/>
  <c r="D16" i="4"/>
  <c r="C16" i="4"/>
  <c r="B16" i="4"/>
  <c r="F16" i="4" s="1"/>
  <c r="R15" i="4"/>
  <c r="Q15" i="4"/>
  <c r="S15" i="4" s="1"/>
  <c r="P15" i="4"/>
  <c r="O15" i="4"/>
  <c r="N15" i="4"/>
  <c r="M15" i="4"/>
  <c r="L15" i="4"/>
  <c r="K15" i="4"/>
  <c r="J15" i="4"/>
  <c r="I15" i="4"/>
  <c r="E15" i="4"/>
  <c r="D15" i="4"/>
  <c r="C15" i="4"/>
  <c r="F15" i="4" s="1"/>
  <c r="B15" i="4"/>
  <c r="R14" i="4"/>
  <c r="Q14" i="4"/>
  <c r="P14" i="4"/>
  <c r="O14" i="4"/>
  <c r="N14" i="4"/>
  <c r="M14" i="4"/>
  <c r="L14" i="4"/>
  <c r="K14" i="4"/>
  <c r="J14" i="4"/>
  <c r="I14" i="4"/>
  <c r="S14" i="4" s="1"/>
  <c r="E14" i="4"/>
  <c r="D14" i="4"/>
  <c r="C14" i="4"/>
  <c r="B14" i="4"/>
  <c r="F14" i="4" s="1"/>
  <c r="R13" i="4"/>
  <c r="Q13" i="4"/>
  <c r="P13" i="4"/>
  <c r="O13" i="4"/>
  <c r="N13" i="4"/>
  <c r="M13" i="4"/>
  <c r="S13" i="4" s="1"/>
  <c r="L13" i="4"/>
  <c r="K13" i="4"/>
  <c r="J13" i="4"/>
  <c r="I13" i="4"/>
  <c r="E13" i="4"/>
  <c r="D13" i="4"/>
  <c r="C13" i="4"/>
  <c r="B13" i="4"/>
  <c r="F13" i="4" s="1"/>
  <c r="R12" i="4"/>
  <c r="Q12" i="4"/>
  <c r="S12" i="4" s="1"/>
  <c r="P12" i="4"/>
  <c r="O12" i="4"/>
  <c r="N12" i="4"/>
  <c r="M12" i="4"/>
  <c r="L12" i="4"/>
  <c r="K12" i="4"/>
  <c r="J12" i="4"/>
  <c r="I12" i="4"/>
  <c r="E12" i="4"/>
  <c r="D12" i="4"/>
  <c r="C12" i="4"/>
  <c r="F12" i="4" s="1"/>
  <c r="B12" i="4"/>
  <c r="R11" i="4"/>
  <c r="Q11" i="4"/>
  <c r="P11" i="4"/>
  <c r="O11" i="4"/>
  <c r="N11" i="4"/>
  <c r="M11" i="4"/>
  <c r="L11" i="4"/>
  <c r="K11" i="4"/>
  <c r="J11" i="4"/>
  <c r="I11" i="4"/>
  <c r="S11" i="4" s="1"/>
  <c r="E11" i="4"/>
  <c r="D11" i="4"/>
  <c r="C11" i="4"/>
  <c r="B11" i="4"/>
  <c r="F11" i="4" s="1"/>
  <c r="R10" i="4"/>
  <c r="Q10" i="4"/>
  <c r="P10" i="4"/>
  <c r="O10" i="4"/>
  <c r="N10" i="4"/>
  <c r="M10" i="4"/>
  <c r="S10" i="4" s="1"/>
  <c r="L10" i="4"/>
  <c r="K10" i="4"/>
  <c r="J10" i="4"/>
  <c r="I10" i="4"/>
  <c r="E10" i="4"/>
  <c r="D10" i="4"/>
  <c r="C10" i="4"/>
  <c r="B10" i="4"/>
  <c r="F10" i="4" s="1"/>
  <c r="R9" i="4"/>
  <c r="Q9" i="4"/>
  <c r="P9" i="4"/>
  <c r="O9" i="4"/>
  <c r="N9" i="4"/>
  <c r="M9" i="4"/>
  <c r="L9" i="4"/>
  <c r="K9" i="4"/>
  <c r="J9" i="4"/>
  <c r="I9" i="4"/>
  <c r="E9" i="4"/>
  <c r="D9" i="4"/>
  <c r="C9" i="4"/>
  <c r="C21" i="4" s="1"/>
  <c r="C22" i="4" s="1"/>
  <c r="R8" i="4"/>
  <c r="Q8" i="4"/>
  <c r="P8" i="4"/>
  <c r="O8" i="4"/>
  <c r="N8" i="4"/>
  <c r="M8" i="4"/>
  <c r="L8" i="4"/>
  <c r="K8" i="4"/>
  <c r="K21" i="4" s="1"/>
  <c r="Y20" i="1" s="1"/>
  <c r="J8" i="4"/>
  <c r="I8" i="4"/>
  <c r="E8" i="4"/>
  <c r="D8" i="4"/>
  <c r="C8" i="4"/>
  <c r="R7" i="4"/>
  <c r="Q7" i="4"/>
  <c r="P7" i="4"/>
  <c r="O7" i="4"/>
  <c r="N7" i="4"/>
  <c r="M7" i="4"/>
  <c r="S7" i="4" s="1"/>
  <c r="L7" i="4"/>
  <c r="K7" i="4"/>
  <c r="J7" i="4"/>
  <c r="I7" i="4"/>
  <c r="E7" i="4"/>
  <c r="D7" i="4"/>
  <c r="C7" i="4"/>
  <c r="B7" i="4"/>
  <c r="F7" i="4" s="1"/>
  <c r="R6" i="4"/>
  <c r="Q6" i="4"/>
  <c r="Q21" i="4" s="1"/>
  <c r="Y26" i="1" s="1"/>
  <c r="P6" i="4"/>
  <c r="O6" i="4"/>
  <c r="N6" i="4"/>
  <c r="M6" i="4"/>
  <c r="L6" i="4"/>
  <c r="L21" i="4" s="1"/>
  <c r="Y21" i="1" s="1"/>
  <c r="K6" i="4"/>
  <c r="J6" i="4"/>
  <c r="J21" i="4" s="1"/>
  <c r="Y19" i="1" s="1"/>
  <c r="I6" i="4"/>
  <c r="E6" i="4"/>
  <c r="B6" i="4"/>
  <c r="F49" i="3"/>
  <c r="P28" i="3"/>
  <c r="F49" i="2"/>
  <c r="P28" i="2"/>
  <c r="F49" i="1"/>
  <c r="P29" i="1"/>
  <c r="S9" i="4" l="1"/>
  <c r="N21" i="4"/>
  <c r="Y23" i="1" s="1"/>
  <c r="O21" i="4"/>
  <c r="Y24" i="1" s="1"/>
  <c r="M21" i="4"/>
  <c r="Y22" i="1" s="1"/>
  <c r="S8" i="4"/>
  <c r="P21" i="4"/>
  <c r="Y25" i="1" s="1"/>
  <c r="B23" i="5"/>
  <c r="B24" i="5" s="1"/>
  <c r="B43" i="5" s="1"/>
  <c r="B62" i="5" s="1"/>
  <c r="B21" i="4"/>
  <c r="B22" i="4" s="1"/>
  <c r="C41" i="4"/>
  <c r="B43" i="7"/>
  <c r="B62" i="7" s="1"/>
  <c r="D60" i="4"/>
  <c r="F59" i="4"/>
  <c r="F6" i="4"/>
  <c r="I21" i="4"/>
  <c r="Y18" i="1" s="1"/>
  <c r="C59" i="4"/>
  <c r="B40" i="4"/>
  <c r="S44" i="4"/>
  <c r="S59" i="4" s="1"/>
  <c r="Y28" i="3" s="1"/>
  <c r="S6" i="4"/>
  <c r="F9" i="4"/>
  <c r="S25" i="4"/>
  <c r="S40" i="4" s="1"/>
  <c r="Y28" i="2" s="1"/>
  <c r="B41" i="4" l="1"/>
  <c r="B60" i="4" s="1"/>
  <c r="S21" i="4"/>
  <c r="Y28" i="1" s="1"/>
  <c r="F21" i="4"/>
  <c r="F22" i="4" s="1"/>
  <c r="F41" i="4" s="1"/>
  <c r="F60" i="4" s="1"/>
  <c r="C6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ID#AAABtOSRvi8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ID#AAABtOSRvjM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ID#AAABtOSRvlU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ID#AAABtOSRvlg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ID#AAABtOSRvkY
Mikael Soini    (2025-10-27 21:37:55)
Alustava arvio missä sprintissä (1-3) suoritetaan.</t>
        </r>
      </text>
    </comment>
    <comment ref="F17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ID#AAABtOSRvjo
Mikael Soini    (2025-10-27 21:37:55)
Alustava työmäärä arvio kuinka monta tuntia suorittaminen tarvitsee</t>
        </r>
      </text>
    </comment>
    <comment ref="G17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ID#AAABtOSRvjw
Mikael Soini    (2025-10-27 21:37:55)
Arvio prosenteissa osion valmiusasteesta: 0…100%</t>
        </r>
      </text>
    </comment>
    <comment ref="I17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ID#AAABtOSRvjg
Mikael Soini    (2025-10-27 21:37:55)
Osion numero, tämä ei saa muuttua projektin aikana.</t>
        </r>
      </text>
    </comment>
    <comment ref="J17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ID#AAABtOSRvlM
Mikael Soini    (2025-10-27 21:37:55)
Kuvaa lyhyesti, mutta selkeästi mitä tehtävässä tehdään. Miten liittyy projektin kehitysjonoon.</t>
        </r>
      </text>
    </comment>
    <comment ref="K17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ID#AAABtOSRvhc
Mikael Soini    (2025-10-27 21:37:55)
Kuvaa millä menetelmillä tehtävä toteutetaan</t>
        </r>
      </text>
    </comment>
    <comment ref="L17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ID#AAABtOSRvkM
Mikael Soini    (2025-10-27 21:37:55)
PH=Projektin hallinta
LL=Lääkinnällisen laitteen suunniteltu käyttö
TT=Taustatutkimus
PK=Prototyypin kehitys
LD=Loppudokumentaatio/-esitys</t>
        </r>
      </text>
    </comment>
    <comment ref="M17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ID#AAABtOSRvhw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ID#AAABtOSRvj0
Mikael Soini    (2025-10-27 21:37:55)
Kuka henkilö ryhmästä vastaa tästä osiosta.</t>
        </r>
      </text>
    </comment>
    <comment ref="O17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ID#AAABtOSRvj4
Mikael Soini    (2025-10-27 21:37:55)
Ketkä ryhmästä osallistuvat tähän osioon</t>
        </r>
      </text>
    </comment>
    <comment ref="P17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ID#AAABtOSRvlA
Mikael Soini    (2025-10-27 21:37:55)
Työmääräarvio kuinka monta tuntia tehtävän suorittamiseen tarvitaan</t>
        </r>
      </text>
    </comment>
    <comment ref="R17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ID#AAABtOSRvkI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ID#AAABtOSRvlo
Mikael Soini    (2025-10-27 21:37:55)
Vertaa sprintin suunnitelmaan. Kerro muutokset.</t>
        </r>
      </text>
    </comment>
    <comment ref="T17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ID#AAABtOSRvjY
Mikael Soini    (2025-10-27 21:37:55)
Vertaa sprintin suunnitelmaan. Kerro muutokset.</t>
        </r>
      </text>
    </comment>
    <comment ref="U17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ID#AAABtOSRvkw
Mikael Soini    (2025-10-27 21:37:55)
PH=Projektin hallinta
LL=Lääkinnällisen laitteen suunniteltu käyttö
TT=Taustatutkimus
PK=Prototyypin kehitys
LD=Loppudokumentaatio/-esitys</t>
        </r>
      </text>
    </comment>
    <comment ref="V17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ID#AAABtOSRvjc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ID#AAABtOSRvkQ
Mikael Soini    (2025-10-27 21:37:55)
Kuka henkilö ryhmästä vastaa tästä osiosta.</t>
        </r>
      </text>
    </comment>
    <comment ref="X17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ID#AAABtOSRviQ
Mikael Soini    (2025-10-27 21:37:55)
Ketkä ryhmästä osallistuvat tähän osioon</t>
        </r>
      </text>
    </comment>
    <comment ref="Y17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ID#AAABtOSRvlI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yfGYL1sY1UV3u95r03CmagWQz0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100-00000C000000}">
      <text>
        <r>
          <rPr>
            <sz val="11"/>
            <color theme="1"/>
            <rFont val="Calibri"/>
            <scheme val="minor"/>
          </rPr>
          <t>======
ID#AAABtOSRvjA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100-000007000000}">
      <text>
        <r>
          <rPr>
            <sz val="11"/>
            <color theme="1"/>
            <rFont val="Calibri"/>
            <scheme val="minor"/>
          </rPr>
          <t>======
ID#AAABtOSRvkA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100-00000E000000}">
      <text>
        <r>
          <rPr>
            <sz val="11"/>
            <color theme="1"/>
            <rFont val="Calibri"/>
            <scheme val="minor"/>
          </rPr>
          <t>======
ID#AAABtOSRvi0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100-000008000000}">
      <text>
        <r>
          <rPr>
            <sz val="11"/>
            <color theme="1"/>
            <rFont val="Calibri"/>
            <scheme val="minor"/>
          </rPr>
          <t>======
ID#AAABtOSRvjs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100-000006000000}">
      <text>
        <r>
          <rPr>
            <sz val="11"/>
            <color theme="1"/>
            <rFont val="Calibri"/>
            <scheme val="minor"/>
          </rPr>
          <t>======
ID#AAABtOSRvkE
Mikael Soini    (2025-10-27 21:37:55)
Alustava arvio missä sprintissä (1-3) suoritetaan.</t>
        </r>
      </text>
    </comment>
    <comment ref="F17" authorId="0" shapeId="0" xr:uid="{00000000-0006-0000-0100-000002000000}">
      <text>
        <r>
          <rPr>
            <sz val="11"/>
            <color theme="1"/>
            <rFont val="Calibri"/>
            <scheme val="minor"/>
          </rPr>
          <t>======
ID#AAABtOSRvlk
Mikael Soini    (2025-10-27 21:37:55)
Alustava työmäärä arvio kuinka monta tuntia suorittaminen tarvitsee</t>
        </r>
      </text>
    </comment>
    <comment ref="G17" authorId="0" shapeId="0" xr:uid="{00000000-0006-0000-0100-000004000000}">
      <text>
        <r>
          <rPr>
            <sz val="11"/>
            <color theme="1"/>
            <rFont val="Calibri"/>
            <scheme val="minor"/>
          </rPr>
          <t>======
ID#AAABtOSRvk4
Mikael Soini    (2025-10-27 21:37:55)
Arvio prosenteissa osion valmiusasteesta: 0…100%</t>
        </r>
      </text>
    </comment>
    <comment ref="I17" authorId="0" shapeId="0" xr:uid="{00000000-0006-0000-0100-000014000000}">
      <text>
        <r>
          <rPr>
            <sz val="11"/>
            <color theme="1"/>
            <rFont val="Calibri"/>
            <scheme val="minor"/>
          </rPr>
          <t>======
ID#AAABtOSRviM
Mikael Soini    (2025-10-27 21:37:55)
Osion numero, tämä ei saa muuttua projektin aikana.</t>
        </r>
      </text>
    </comment>
    <comment ref="J17" authorId="0" shapeId="0" xr:uid="{00000000-0006-0000-0100-000012000000}">
      <text>
        <r>
          <rPr>
            <sz val="11"/>
            <color theme="1"/>
            <rFont val="Calibri"/>
            <scheme val="minor"/>
          </rPr>
          <t>======
ID#AAABtOSRviY
Mikael Soini    (2025-10-27 21:37:55)
Kuvaa lyhyesti, mutta selkeästi mitä tehtävässä tehdään. Miten liittyy projektin kehitysjonoon.</t>
        </r>
      </text>
    </comment>
    <comment ref="K17" authorId="0" shapeId="0" xr:uid="{00000000-0006-0000-0100-000005000000}">
      <text>
        <r>
          <rPr>
            <sz val="11"/>
            <color theme="1"/>
            <rFont val="Calibri"/>
            <scheme val="minor"/>
          </rPr>
          <t>======
ID#AAABtOSRvko
Mikael Soini    (2025-10-27 21:37:55)
Kuvaa millä menetelmillä tehtävä toteutetaan</t>
        </r>
      </text>
    </comment>
    <comment ref="L17" authorId="0" shapeId="0" xr:uid="{00000000-0006-0000-0100-000015000000}">
      <text>
        <r>
          <rPr>
            <sz val="11"/>
            <color theme="1"/>
            <rFont val="Calibri"/>
            <scheme val="minor"/>
          </rPr>
          <t>======
ID#AAABtOSRvh8
Mikael Soini    (2025-10-27 21:37:55)
PH=Projektin hallinta
TT=Taustatutkimus
PK=Prototyypin kehitys
LD=Loppudokumentaatio/-esitys</t>
        </r>
      </text>
    </comment>
    <comment ref="M17" authorId="0" shapeId="0" xr:uid="{00000000-0006-0000-0100-000013000000}">
      <text>
        <r>
          <rPr>
            <sz val="11"/>
            <color theme="1"/>
            <rFont val="Calibri"/>
            <scheme val="minor"/>
          </rPr>
          <t>======
ID#AAABtOSRviU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100-00000F000000}">
      <text>
        <r>
          <rPr>
            <sz val="11"/>
            <color theme="1"/>
            <rFont val="Calibri"/>
            <scheme val="minor"/>
          </rPr>
          <t>======
ID#AAABtOSRviw
Mikael Soini    (2025-10-27 21:37:55)
Kuka henkilö ryhmästä vastaa tästä osiosta.</t>
        </r>
      </text>
    </comment>
    <comment ref="O17" authorId="0" shapeId="0" xr:uid="{00000000-0006-0000-0100-000009000000}">
      <text>
        <r>
          <rPr>
            <sz val="11"/>
            <color theme="1"/>
            <rFont val="Calibri"/>
            <scheme val="minor"/>
          </rPr>
          <t>======
ID#AAABtOSRvjk
Mikael Soini    (2025-10-27 21:37:55)
Ketkä ryhmästä osallistuvat tähän osioon</t>
        </r>
      </text>
    </comment>
    <comment ref="P17" authorId="0" shapeId="0" xr:uid="{00000000-0006-0000-0100-000003000000}">
      <text>
        <r>
          <rPr>
            <sz val="11"/>
            <color theme="1"/>
            <rFont val="Calibri"/>
            <scheme val="minor"/>
          </rPr>
          <t>======
ID#AAABtOSRvlY
Mikael Soini    (2025-10-27 21:37:55)
Työmääräarvio kuinka monta tuntia tehtävän suorittamiseen tarvitaan</t>
        </r>
      </text>
    </comment>
    <comment ref="R17" authorId="0" shapeId="0" xr:uid="{00000000-0006-0000-0100-000016000000}">
      <text>
        <r>
          <rPr>
            <sz val="11"/>
            <color theme="1"/>
            <rFont val="Calibri"/>
            <scheme val="minor"/>
          </rPr>
          <t>======
ID#AAABtOSRvh0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100-000011000000}">
      <text>
        <r>
          <rPr>
            <sz val="11"/>
            <color theme="1"/>
            <rFont val="Calibri"/>
            <scheme val="minor"/>
          </rPr>
          <t>======
ID#AAABtOSRvio
Mikael Soini    (2025-10-27 21:37:55)
Vertaa sprintin suunnitelmaan. Kerro muutokset.</t>
        </r>
      </text>
    </comment>
    <comment ref="T17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ID#AAABtOSRvls
Mikael Soini    (2025-10-27 21:37:55)
Vertaa sprintin suunnitelmaan. Kerro muutokset.</t>
        </r>
      </text>
    </comment>
    <comment ref="U17" authorId="0" shapeId="0" xr:uid="{00000000-0006-0000-0100-00000B000000}">
      <text>
        <r>
          <rPr>
            <sz val="11"/>
            <color theme="1"/>
            <rFont val="Calibri"/>
            <scheme val="minor"/>
          </rPr>
          <t>======
ID#AAABtOSRvjQ
Mikael Soini    (2025-10-27 21:37:55)
PH=Projektin hallinta
TT=Taustatutkimus
PK=Prototyypin kehitys
LD=Loppudokumentaatio/-esitys</t>
        </r>
      </text>
    </comment>
    <comment ref="V17" authorId="0" shapeId="0" xr:uid="{00000000-0006-0000-0100-00000D000000}">
      <text>
        <r>
          <rPr>
            <sz val="11"/>
            <color theme="1"/>
            <rFont val="Calibri"/>
            <scheme val="minor"/>
          </rPr>
          <t>======
ID#AAABtOSRvi4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100-000017000000}">
      <text>
        <r>
          <rPr>
            <sz val="11"/>
            <color theme="1"/>
            <rFont val="Calibri"/>
            <scheme val="minor"/>
          </rPr>
          <t>======
ID#AAABtOSRvhs
Mikael Soini    (2025-10-27 21:37:55)
Kuka henkilö ryhmästä vastaa tästä osiosta.</t>
        </r>
      </text>
    </comment>
    <comment ref="X17" authorId="0" shapeId="0" xr:uid="{00000000-0006-0000-0100-000010000000}">
      <text>
        <r>
          <rPr>
            <sz val="11"/>
            <color theme="1"/>
            <rFont val="Calibri"/>
            <scheme val="minor"/>
          </rPr>
          <t>======
ID#AAABtOSRvis
Mikael Soini    (2025-10-27 21:37:55)
Ketkä ryhmästä osallistuvat tähän osioon</t>
        </r>
      </text>
    </comment>
    <comment ref="Y17" authorId="0" shapeId="0" xr:uid="{00000000-0006-0000-0100-00000A000000}">
      <text>
        <r>
          <rPr>
            <sz val="11"/>
            <color theme="1"/>
            <rFont val="Calibri"/>
            <scheme val="minor"/>
          </rPr>
          <t>======
ID#AAABtOSRvjU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y0PrvV2gn0qiiyArPnuRZu1Rqeg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7" authorId="0" shapeId="0" xr:uid="{00000000-0006-0000-0200-000001000000}">
      <text>
        <r>
          <rPr>
            <sz val="11"/>
            <color theme="1"/>
            <rFont val="Calibri"/>
            <scheme val="minor"/>
          </rPr>
          <t>======
ID#AAABtOSRvlc
Mikael Soini    (2025-10-27 21:37:55)
Osion numero, tämä ei saa muuttua projektin aikana. Jos joku osio jää pois se jätetään kuitenkin kehitysjonon tuleviin versioihin.</t>
        </r>
      </text>
    </comment>
    <comment ref="B17" authorId="0" shapeId="0" xr:uid="{00000000-0006-0000-0200-00000B000000}">
      <text>
        <r>
          <rPr>
            <sz val="11"/>
            <color theme="1"/>
            <rFont val="Calibri"/>
            <scheme val="minor"/>
          </rPr>
          <t>======
ID#AAABtOSRvj8
Mikael Soini    (2025-10-27 21:37:55)
Kuvaa lyhyesti, mutta selkeästi kukin projektin osio. Tarkempi kuvaus tulee Sprinttien kehitysjonoon. Huomioi kurssin eri osioiden vaatimukset ja tehtävät.</t>
        </r>
      </text>
    </comment>
    <comment ref="C17" authorId="0" shapeId="0" xr:uid="{00000000-0006-0000-0200-000002000000}">
      <text>
        <r>
          <rPr>
            <sz val="11"/>
            <color theme="1"/>
            <rFont val="Calibri"/>
            <scheme val="minor"/>
          </rPr>
          <t>======
ID#AAABtOSRvlQ
Mikael Soini    (2025-10-27 21:37:55)
PH=Projektin hallinta
LL=Lääkinnällisen laitteen suunniteltu käyttö
TT=Taustatutkimus
PK=Prototyypin kehitys
LD=Loppudokumentaatio/-esitys</t>
        </r>
      </text>
    </comment>
    <comment ref="D17" authorId="0" shapeId="0" xr:uid="{00000000-0006-0000-0200-000016000000}">
      <text>
        <r>
          <rPr>
            <sz val="11"/>
            <color theme="1"/>
            <rFont val="Calibri"/>
            <scheme val="minor"/>
          </rPr>
          <t>======
ID#AAABtOSRvhk
Mikael Soini    (2025-10-27 21:37:55)
Osion prioriteetti: 1=pakko tehdä, 2=pitäisi tehdä, 3=olisi hyvä tehdä. Huomioi kurssin eri osioiden vaatimukset pakollisuudesta.</t>
        </r>
      </text>
    </comment>
    <comment ref="E17" authorId="0" shapeId="0" xr:uid="{00000000-0006-0000-0200-000005000000}">
      <text>
        <r>
          <rPr>
            <sz val="11"/>
            <color theme="1"/>
            <rFont val="Calibri"/>
            <scheme val="minor"/>
          </rPr>
          <t>======
ID#AAABtOSRvk0
Mikael Soini    (2025-10-27 21:37:55)
Alustava arvio missä sprintissä (1-3) suoritetaan.</t>
        </r>
      </text>
    </comment>
    <comment ref="F17" authorId="0" shapeId="0" xr:uid="{00000000-0006-0000-0200-000006000000}">
      <text>
        <r>
          <rPr>
            <sz val="11"/>
            <color theme="1"/>
            <rFont val="Calibri"/>
            <scheme val="minor"/>
          </rPr>
          <t>======
ID#AAABtOSRvks
Mikael Soini    (2025-10-27 21:37:55)
Alustava työmäärä arvio kuinka monta tuntia suorittaminen tarvitsee</t>
        </r>
      </text>
    </comment>
    <comment ref="G17" authorId="0" shapeId="0" xr:uid="{00000000-0006-0000-0200-000015000000}">
      <text>
        <r>
          <rPr>
            <sz val="11"/>
            <color theme="1"/>
            <rFont val="Calibri"/>
            <scheme val="minor"/>
          </rPr>
          <t>======
ID#AAABtOSRvho
Mikael Soini    (2025-10-27 21:37:55)
Arvio prosenteissa osion valmiusasteesta: 0…100%</t>
        </r>
      </text>
    </comment>
    <comment ref="I17" authorId="0" shapeId="0" xr:uid="{00000000-0006-0000-0200-00000E000000}">
      <text>
        <r>
          <rPr>
            <sz val="11"/>
            <color theme="1"/>
            <rFont val="Calibri"/>
            <scheme val="minor"/>
          </rPr>
          <t>======
ID#AAABtOSRvik
Mikael Soini    (2025-10-27 21:37:55)
Osion numero, tämä ei saa muuttua projektin aikana.</t>
        </r>
      </text>
    </comment>
    <comment ref="J17" authorId="0" shapeId="0" xr:uid="{00000000-0006-0000-0200-000011000000}">
      <text>
        <r>
          <rPr>
            <sz val="11"/>
            <color theme="1"/>
            <rFont val="Calibri"/>
            <scheme val="minor"/>
          </rPr>
          <t>======
ID#AAABtOSRviI
Mikael Soini    (2025-10-27 21:37:55)
Kuvaa lyhyesti, mutta selkeästi mitä tehtävässä tehdään. Miten liittyy projektin kehitysjonoon.</t>
        </r>
      </text>
    </comment>
    <comment ref="K17" authorId="0" shapeId="0" xr:uid="{00000000-0006-0000-0200-000009000000}">
      <text>
        <r>
          <rPr>
            <sz val="11"/>
            <color theme="1"/>
            <rFont val="Calibri"/>
            <scheme val="minor"/>
          </rPr>
          <t>======
ID#AAABtOSRvkc
Mikael Soini    (2025-10-27 21:37:55)
Kuvaa millä menetelmillä tehtävä toteutetaan</t>
        </r>
      </text>
    </comment>
    <comment ref="L17" authorId="0" shapeId="0" xr:uid="{00000000-0006-0000-0200-000004000000}">
      <text>
        <r>
          <rPr>
            <sz val="11"/>
            <color theme="1"/>
            <rFont val="Calibri"/>
            <scheme val="minor"/>
          </rPr>
          <t>======
ID#AAABtOSRvk8
Mikael Soini    (2025-10-27 21:37:55)
PH=Projektin hallinta
TT=Taustatutkimus
PK=Prototyypin kehitys
LD=Loppudokumentaatio/-esitys</t>
        </r>
      </text>
    </comment>
    <comment ref="M17" authorId="0" shapeId="0" xr:uid="{00000000-0006-0000-0200-00000A000000}">
      <text>
        <r>
          <rPr>
            <sz val="11"/>
            <color theme="1"/>
            <rFont val="Calibri"/>
            <scheme val="minor"/>
          </rPr>
          <t>======
ID#AAABtOSRvkU
Mikael Soini    (2025-10-27 21:37:55)
Osion prioriteetti: 1=pakko tehdä, 2=pitäisi tehdä, 3=olisi hyvä tehdä. Huomioi kurssin eri osioiden vaatimukset pakollisuudesta.</t>
        </r>
      </text>
    </comment>
    <comment ref="N17" authorId="0" shapeId="0" xr:uid="{00000000-0006-0000-0200-000010000000}">
      <text>
        <r>
          <rPr>
            <sz val="11"/>
            <color theme="1"/>
            <rFont val="Calibri"/>
            <scheme val="minor"/>
          </rPr>
          <t>======
ID#AAABtOSRvic
Mikael Soini    (2025-10-27 21:37:55)
Kuka henkilö ryhmästä vastaa tästä osiosta.</t>
        </r>
      </text>
    </comment>
    <comment ref="O17" authorId="0" shapeId="0" xr:uid="{00000000-0006-0000-0200-000013000000}">
      <text>
        <r>
          <rPr>
            <sz val="11"/>
            <color theme="1"/>
            <rFont val="Calibri"/>
            <scheme val="minor"/>
          </rPr>
          <t>======
ID#AAABtOSRviA
Mikael Soini    (2025-10-27 21:37:55)
Ketkä ryhmästä osallistuvat tähän osioon</t>
        </r>
      </text>
    </comment>
    <comment ref="P17" authorId="0" shapeId="0" xr:uid="{00000000-0006-0000-0200-000008000000}">
      <text>
        <r>
          <rPr>
            <sz val="11"/>
            <color theme="1"/>
            <rFont val="Calibri"/>
            <scheme val="minor"/>
          </rPr>
          <t>======
ID#AAABtOSRvkg
Mikael Soini    (2025-10-27 21:37:55)
Työmääräarvio kuinka monta tuntia tehtävän suorittamiseen tarvitaan</t>
        </r>
      </text>
    </comment>
    <comment ref="R17" authorId="0" shapeId="0" xr:uid="{00000000-0006-0000-0200-000003000000}">
      <text>
        <r>
          <rPr>
            <sz val="11"/>
            <color theme="1"/>
            <rFont val="Calibri"/>
            <scheme val="minor"/>
          </rPr>
          <t>======
ID#AAABtOSRvlE
Mikael Soini    (2025-10-27 21:37:55)
Osion numero, tämä ei saa muuttua projektin aikana. Jos joku osio jää pois se jätetään kuitenkin kehitysjonon tuleviin versioihin. Jäljitettävyys projektin kehitysjonoon tärkeää, jos esim. projektin kehitysjonon osio 1 laitetaan osiin niistä tulee 1.1, 1.2 jne.</t>
        </r>
      </text>
    </comment>
    <comment ref="S17" authorId="0" shapeId="0" xr:uid="{00000000-0006-0000-0200-000017000000}">
      <text>
        <r>
          <rPr>
            <sz val="11"/>
            <color theme="1"/>
            <rFont val="Calibri"/>
            <scheme val="minor"/>
          </rPr>
          <t>======
ID#AAABtOSRvhg
Mikael Soini    (2025-10-27 21:37:55)
Vertaa sprintin suunnitelmaan. Kerro muutokset.</t>
        </r>
      </text>
    </comment>
    <comment ref="T17" authorId="0" shapeId="0" xr:uid="{00000000-0006-0000-0200-00000F000000}">
      <text>
        <r>
          <rPr>
            <sz val="11"/>
            <color theme="1"/>
            <rFont val="Calibri"/>
            <scheme val="minor"/>
          </rPr>
          <t>======
ID#AAABtOSRvig
Mikael Soini    (2025-10-27 21:37:55)
Vertaa sprintin suunnitelmaan. Kerro muutokset.</t>
        </r>
      </text>
    </comment>
    <comment ref="U17" authorId="0" shapeId="0" xr:uid="{00000000-0006-0000-0200-00000D000000}">
      <text>
        <r>
          <rPr>
            <sz val="11"/>
            <color theme="1"/>
            <rFont val="Calibri"/>
            <scheme val="minor"/>
          </rPr>
          <t>======
ID#AAABtOSRvjE
Mikael Soini    (2025-10-27 21:37:55)
PH=Projektin hallinta
TT=Taustatutkimus
PK=Prototyypin kehitys
LD=Loppudokumentaatio/-esitys</t>
        </r>
      </text>
    </comment>
    <comment ref="V17" authorId="0" shapeId="0" xr:uid="{00000000-0006-0000-0200-00000C000000}">
      <text>
        <r>
          <rPr>
            <sz val="11"/>
            <color theme="1"/>
            <rFont val="Calibri"/>
            <scheme val="minor"/>
          </rPr>
          <t>======
ID#AAABtOSRvjI
Mikael Soini    (2025-10-27 21:37:55)
Osion prioriteetti: 1=pakko tehdä, 2=pitäisi tehdä, 3=olisi hyvä tehdä. Huomioi kurssin eri osioiden vaatimukset pakollisuudesta.</t>
        </r>
      </text>
    </comment>
    <comment ref="W17" authorId="0" shapeId="0" xr:uid="{00000000-0006-0000-0200-000014000000}">
      <text>
        <r>
          <rPr>
            <sz val="11"/>
            <color theme="1"/>
            <rFont val="Calibri"/>
            <scheme val="minor"/>
          </rPr>
          <t>======
ID#AAABtOSRvh4
Mikael Soini    (2025-10-27 21:37:55)
Kuka henkilö ryhmästä vastaa tästä osiosta.</t>
        </r>
      </text>
    </comment>
    <comment ref="X17" authorId="0" shapeId="0" xr:uid="{00000000-0006-0000-0200-000007000000}">
      <text>
        <r>
          <rPr>
            <sz val="11"/>
            <color theme="1"/>
            <rFont val="Calibri"/>
            <scheme val="minor"/>
          </rPr>
          <t>======
ID#AAABtOSRvkk
Mikael Soini    (2025-10-27 21:37:55)
Ketkä ryhmästä osallistuvat tähän osioon</t>
        </r>
      </text>
    </comment>
    <comment ref="Y17" authorId="0" shapeId="0" xr:uid="{00000000-0006-0000-0200-000012000000}">
      <text>
        <r>
          <rPr>
            <sz val="11"/>
            <color theme="1"/>
            <rFont val="Calibri"/>
            <scheme val="minor"/>
          </rPr>
          <t>======
ID#AAABtOSRviE
Mikael Soini    (2025-10-27 21:37:55)
Tieto tulee automaattisesti toisilta välilehdiltä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lN6tWrg1NMPUg1KmqNxObzxEM6w=="/>
    </ext>
  </extLst>
</comments>
</file>

<file path=xl/sharedStrings.xml><?xml version="1.0" encoding="utf-8"?>
<sst xmlns="http://schemas.openxmlformats.org/spreadsheetml/2006/main" count="992" uniqueCount="226">
  <si>
    <t xml:space="preserve">Projekti: Mittaustiedon käsittely ja visualisointi </t>
  </si>
  <si>
    <t>Projektin kehitysjono</t>
  </si>
  <si>
    <t>Sprintin kehitysjono (suunnitelma)</t>
  </si>
  <si>
    <t>Sprintin katselmus (toteutuma)</t>
  </si>
  <si>
    <t>Sprintin retrospektiivi</t>
  </si>
  <si>
    <t>Versio: 0.1 | Pvm:  27.10.25 | Ryhmä: the A-team</t>
  </si>
  <si>
    <t>Sprintin numero: 1 | Pvm: 27.10.25 | Ryhmä: the A-team</t>
  </si>
  <si>
    <t>Sprintin numero: ______ Pvm: _________ Ryhmä: _______</t>
  </si>
  <si>
    <t>ID</t>
  </si>
  <si>
    <t>Projektin eri osioiden kuvaus</t>
  </si>
  <si>
    <t>Kategoria</t>
  </si>
  <si>
    <t>Prioriteetti</t>
  </si>
  <si>
    <t>Sprintti</t>
  </si>
  <si>
    <t>Työmääräarvio</t>
  </si>
  <si>
    <t>Valmius</t>
  </si>
  <si>
    <t>Mitä osioita sprintin aikana tehdään</t>
  </si>
  <si>
    <t>Miten eri osiot tehdään</t>
  </si>
  <si>
    <t>Vastuu</t>
  </si>
  <si>
    <t>Osallistujat</t>
  </si>
  <si>
    <t>Mitä osioita sprintin aikana tehtiin</t>
  </si>
  <si>
    <t>Miten eri osiot tehtiin</t>
  </si>
  <si>
    <t>Työmäärätoteutuma</t>
  </si>
  <si>
    <t>P1</t>
  </si>
  <si>
    <t>Projektin tavoite, roolit ja viestintäkanavat määritelty</t>
  </si>
  <si>
    <t>Suunnittelu</t>
  </si>
  <si>
    <t>Valmis</t>
  </si>
  <si>
    <t>S1.1</t>
  </si>
  <si>
    <t>Projektin aloitus, roolien ja viestintäkanavien määrittely</t>
  </si>
  <si>
    <t>Tiimitapaaminen, roolilista, GitHub ja Drive luotu</t>
  </si>
  <si>
    <t>Project Lead</t>
  </si>
  <si>
    <t>Koko tiimi</t>
  </si>
  <si>
    <t>P2</t>
  </si>
  <si>
    <t>Käyttäjäprofiilien ja suunnitellun käytön taulukko (v0.1)</t>
  </si>
  <si>
    <t>S1.2</t>
  </si>
  <si>
    <t>Laadi taulukko käyttäjäryhmistä, konteksteista ja vaatimuksista</t>
  </si>
  <si>
    <t>Research Lead</t>
  </si>
  <si>
    <t>UX &amp; Project Lead</t>
  </si>
  <si>
    <t xml:space="preserve">Taulukko käyttäjäryhmistä, konteksteista ja vaatimuksista laadittiin. </t>
  </si>
  <si>
    <t>P3</t>
  </si>
  <si>
    <t>Taustatutkimuksen suunnittelu ja hakusanalistan luonti</t>
  </si>
  <si>
    <t>Tutkimus</t>
  </si>
  <si>
    <t>S1.3</t>
  </si>
  <si>
    <t>Laadi tutkimuskysymykset, tietokannat, hakusanat</t>
  </si>
  <si>
    <t xml:space="preserve">Tutkimuskysymykset, tietokannat ja hakusanat määriteltiin.  </t>
  </si>
  <si>
    <t>P4</t>
  </si>
  <si>
    <t>Kirjallisuushaku ja artikkelien tiivistelmät</t>
  </si>
  <si>
    <t>S1.4</t>
  </si>
  <si>
    <t>Hae 10-15 artikkelia, valitse 3-5 ja tee tiivistelmät</t>
  </si>
  <si>
    <t>Tutkimusryhmä</t>
  </si>
  <si>
    <t>10–15 artikkelia haettiin, joista 3–5 valittiin ja niistä tehtiin tiivistelmät.</t>
  </si>
  <si>
    <t>P5</t>
  </si>
  <si>
    <t>Taustatutkimus-dokumentti (luonnos)</t>
  </si>
  <si>
    <t>Tutkimus / Dokumentointi</t>
  </si>
  <si>
    <t>S1.5</t>
  </si>
  <si>
    <t>Kirjoita 2-4 sivua tärkeimmistä havannoista ja lähteistä</t>
  </si>
  <si>
    <t>2–4 sivua tärkeimmistä havainnoista ja lähteistä kirjoitettiin.</t>
  </si>
  <si>
    <t>P6</t>
  </si>
  <si>
    <t>Teknisten mittausvaatimusten määrittely (anturi, parametrit)</t>
  </si>
  <si>
    <t>Tekninen suunnittelu</t>
  </si>
  <si>
    <t>S1.6</t>
  </si>
  <si>
    <t>Määritä mitattavat kulmat, taajuus, kiinnitys</t>
  </si>
  <si>
    <t>Technical Lead</t>
  </si>
  <si>
    <t xml:space="preserve">Mitattavat kulmat, taajuus ja anturin kiinnitys määritettiin.  </t>
  </si>
  <si>
    <t>P7</t>
  </si>
  <si>
    <t>Mittausprotokollan luonnos (kyykky &amp; kävelytesti)</t>
  </si>
  <si>
    <t>S1.7</t>
  </si>
  <si>
    <t>Kuvaa anturin sijainti, toistot, olosuhteet</t>
  </si>
  <si>
    <t>QA / Protocol Owner</t>
  </si>
  <si>
    <t xml:space="preserve">Anturin sijainti, toistot ja olosuhteet kuvattiin.  </t>
  </si>
  <si>
    <t>P8</t>
  </si>
  <si>
    <t>Riskien ja rajoitusten arviointi</t>
  </si>
  <si>
    <t>Dokumentointi</t>
  </si>
  <si>
    <t>-</t>
  </si>
  <si>
    <t>S1.8</t>
  </si>
  <si>
    <t>Tee riskitaulukko (todennäköisyys, vaikutus, vähennystoimet)</t>
  </si>
  <si>
    <t>QA Lead</t>
  </si>
  <si>
    <t>P9</t>
  </si>
  <si>
    <t>Ohjaajatapaaminen ja päästösten kirjaus</t>
  </si>
  <si>
    <t>Hallinta / Kommunikaatio</t>
  </si>
  <si>
    <t>S1.9</t>
  </si>
  <si>
    <t>Tapaaminen (30-60 min), kirjaa päätökset</t>
  </si>
  <si>
    <t>P10</t>
  </si>
  <si>
    <t>Väliarvioinnin valmistelu (mid-review)</t>
  </si>
  <si>
    <t>Esitys / Dokumentointi</t>
  </si>
  <si>
    <t>S1.10</t>
  </si>
  <si>
    <t>Tee 3-5 diaa (tavoite, taustatutkimus, protokolla)</t>
  </si>
  <si>
    <t>UI / Presentation Lead</t>
  </si>
  <si>
    <t>P11</t>
  </si>
  <si>
    <t>MoveSense-anturin liittäminen ja datankeruu</t>
  </si>
  <si>
    <t>Tekninen kehitys</t>
  </si>
  <si>
    <t>P12</t>
  </si>
  <si>
    <t>Datan esikäsittely ja suodatus (Python)</t>
  </si>
  <si>
    <t>P13</t>
  </si>
  <si>
    <t>Kulmalaskenta ja visualisointi (Python)</t>
  </si>
  <si>
    <t>P14</t>
  </si>
  <si>
    <t>AI-luokittelun integrointi</t>
  </si>
  <si>
    <t>AI / ML</t>
  </si>
  <si>
    <t>P15</t>
  </si>
  <si>
    <t>AI:n tulosten validointi (liikkeen tunnistus)</t>
  </si>
  <si>
    <t>Testaus / Validointi</t>
  </si>
  <si>
    <t>P16</t>
  </si>
  <si>
    <t>Käyttöliittymän ensimmäinen versio (Figma)</t>
  </si>
  <si>
    <t>Visualisointi / UI</t>
  </si>
  <si>
    <t>P17</t>
  </si>
  <si>
    <t>Datan visualisointi käyttöliittymässä</t>
  </si>
  <si>
    <t>P18</t>
  </si>
  <si>
    <t>Kyykky- ja kävelytestin pilottimittaus</t>
  </si>
  <si>
    <t>Testaus</t>
  </si>
  <si>
    <t>P19</t>
  </si>
  <si>
    <t>Mid-review-esityksen valmistelu</t>
  </si>
  <si>
    <t>Dokumentointi / Esitys</t>
  </si>
  <si>
    <t>P20</t>
  </si>
  <si>
    <t>Palautteen keruu ja kehityssuunnitelma Sprintti 3:lle</t>
  </si>
  <si>
    <t>Hallinta / Dokumentointi</t>
  </si>
  <si>
    <t>P21</t>
  </si>
  <si>
    <t>Testisuunnitelman viimeistely</t>
  </si>
  <si>
    <t>Testaus / Suunnittelu</t>
  </si>
  <si>
    <t>P22</t>
  </si>
  <si>
    <t>Kyykkytestien toteutus (2-3 osallistujaa)</t>
  </si>
  <si>
    <t>P23</t>
  </si>
  <si>
    <t>Kävelytestien toteutus</t>
  </si>
  <si>
    <t>P24</t>
  </si>
  <si>
    <t>Datan käsittely ja kulmalaskenta</t>
  </si>
  <si>
    <t>Tekninen kehitys / Analyysi</t>
  </si>
  <si>
    <t>P25</t>
  </si>
  <si>
    <t>Tulosten validointi ja vertailu kirjallisuuteen</t>
  </si>
  <si>
    <t>Analyysi / Tutkimus</t>
  </si>
  <si>
    <t>P26</t>
  </si>
  <si>
    <t>AI-luokittelun tarkkuuden arviointi</t>
  </si>
  <si>
    <t>AI / Validointi</t>
  </si>
  <si>
    <t>P27</t>
  </si>
  <si>
    <t>Figma-käyttöliittymän viimeistely</t>
  </si>
  <si>
    <t>P28</t>
  </si>
  <si>
    <t>Loppuraportin kirjoittaminen</t>
  </si>
  <si>
    <t>P29</t>
  </si>
  <si>
    <t>Posterin ja esityksen laatiminen</t>
  </si>
  <si>
    <t>P30</t>
  </si>
  <si>
    <t>Loppuesitys ja retrospektiivipalaveri</t>
  </si>
  <si>
    <t>Hallinta / kommunikaatio</t>
  </si>
  <si>
    <t>SPRINTTI 2: ti 11.11 - ti 25.11</t>
  </si>
  <si>
    <t>Versio: 0.1 | Pvm: 27.10.25 | Ryhmä: the A-team</t>
  </si>
  <si>
    <t>Sprintin numero: 2 | Pvm: 27.10.25 | Ryhmä: the A-team</t>
  </si>
  <si>
    <t>S2.1</t>
  </si>
  <si>
    <t>Kytke anturi BLE:n kautta, tallenna IMU-data CSV-muodossa</t>
  </si>
  <si>
    <t>S2.2</t>
  </si>
  <si>
    <t>Toteuta Butterworth- tai Kalman-suodatin (scipy.signal)</t>
  </si>
  <si>
    <t>Data Engineer</t>
  </si>
  <si>
    <t>S2.3</t>
  </si>
  <si>
    <t>Laske polvikulmat (roll/pitch/yaw) ja piirrä käyrät</t>
  </si>
  <si>
    <t>S2.4</t>
  </si>
  <si>
    <t>Lähetä esikäsitelty data mallille, vastaanota liikeanalyysi</t>
  </si>
  <si>
    <t>ML Engineer</t>
  </si>
  <si>
    <t>S2.5</t>
  </si>
  <si>
    <t>Tarkista, tunnistaako AI oikein liikkeen (kyykky, kävely, sivuttaisliike)</t>
  </si>
  <si>
    <t>S2.6</t>
  </si>
  <si>
    <t>Suunnittele näkymät: graafi, AI-tulkinta, varoitukset</t>
  </si>
  <si>
    <t>UI Lead</t>
  </si>
  <si>
    <t>S2.7</t>
  </si>
  <si>
    <t>Lisää prototyyppiin reaaliaikainen graafi ja kulmatiedot</t>
  </si>
  <si>
    <t>S2.8</t>
  </si>
  <si>
    <t>Testaa anturia 2-3 henkilöllä, kerää esimerkkidata</t>
  </si>
  <si>
    <t>S2.9</t>
  </si>
  <si>
    <t>Laadi 4-6 diaa: tavoite, menetelmät, datan tulokset, AI-demo</t>
  </si>
  <si>
    <t>S2.10</t>
  </si>
  <si>
    <t>Kirjaa saadut kommentit ja tee jatkosuunnitelma</t>
  </si>
  <si>
    <t>SPRINTTI 3: ke 26.11 - ke 10.12</t>
  </si>
  <si>
    <t>Sprintin numero: 3 | Pvm: 27.10.25 | Ryhmä: the A-team</t>
  </si>
  <si>
    <t>S3.1</t>
  </si>
  <si>
    <t>Laadi testiprotokolla (kyykky- ja kävelytesti, toistot, olosuhteet, osallistujat)</t>
  </si>
  <si>
    <t>S3.2</t>
  </si>
  <si>
    <t>Kerää MoveSense-dataa, dokumentoi olosuhteet ja toistot</t>
  </si>
  <si>
    <t>S3.3</t>
  </si>
  <si>
    <t>Tee vastaavat mittaukset kävelystä</t>
  </si>
  <si>
    <t>S3.4</t>
  </si>
  <si>
    <t>Suodata data ja laske polvikulmat (roll/pitch/yaw) Pythonilla</t>
  </si>
  <si>
    <t>S3.5</t>
  </si>
  <si>
    <t>Laske virhemarginaalit ja tee vertailutaulukko (literatuuri vs mittaus)</t>
  </si>
  <si>
    <t>S3.6</t>
  </si>
  <si>
    <t>Arvioi AI:n onnistumisprosentti (accuracy, confusion, matrix)</t>
  </si>
  <si>
    <t>S3.7</t>
  </si>
  <si>
    <t>Lisää todelliset tulokset ja AI-tulkinnat käyttöliittymään</t>
  </si>
  <si>
    <t>S3.8</t>
  </si>
  <si>
    <t>Koosta 4-6 sivun tekninen raportti tuloksista ja pohdinnasta</t>
  </si>
  <si>
    <t>S3.9</t>
  </si>
  <si>
    <t>Luo visuaalinen yhteenveto ja valmistautuminen loppuesitykseen</t>
  </si>
  <si>
    <t>S3.10</t>
  </si>
  <si>
    <t>Esitä projekti, kerää palaute, arvioi parannukset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</si>
  <si>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Tämä on automaattinen koonti projektiryhmäläisten työajoista. Älä täytä tunteja tai mitään muutakaan tälle välilehdelle!!!</t>
    </r>
  </si>
  <si>
    <t>Tuntiseuranta - päivä- ja henkilökohtaiset tunnit</t>
  </si>
  <si>
    <t>Tuntiseuranta - päivä- ja sprinttikohtaiset tunnit</t>
  </si>
  <si>
    <t>Sprintti 1</t>
  </si>
  <si>
    <t>Jäsen 1</t>
  </si>
  <si>
    <t>Jäsen 2</t>
  </si>
  <si>
    <t>Jäsen 3</t>
  </si>
  <si>
    <t>Jäsen 4</t>
  </si>
  <si>
    <t>Tunnit yht.</t>
  </si>
  <si>
    <t>Sprintin kokonaistunnit</t>
  </si>
  <si>
    <t>Projektin kumulatiivinen tuntimäärä</t>
  </si>
  <si>
    <t>Sprintti 2</t>
  </si>
  <si>
    <t>Sprintti 3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</si>
  <si>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</si>
  <si>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Tuntiseuranta</t>
  </si>
  <si>
    <t>Nimi:</t>
  </si>
  <si>
    <t>A</t>
  </si>
  <si>
    <t>Päivitetty:</t>
  </si>
  <si>
    <t>Kuvaus tehdystä työstä</t>
  </si>
  <si>
    <t>Tiimi perusti projektin rakenteen ja roolit, määritti viestintäkanavat ja aikataulun.
Laadittiin käyttäjäprofiilitaulukko (v0.1) sekä suunniteltiin ja aloitettiin kirjallisuushaku — 3–5 keskeistä lähdettä tunnistettu ja tallennettu jatkoanalyysiä varten.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</si>
  <si>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</si>
  <si>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Oma nimi</t>
  </si>
  <si>
    <t>&lt;pvm&gt;</t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</si>
  <si>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</si>
  <si>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r>
      <rPr>
        <sz val="11"/>
        <color rgb="FFA5A5A5"/>
        <rFont val="Calibri"/>
      </rPr>
      <t xml:space="preserve">Projekti: Mittaustiedon käsittely ja visualisointi - </t>
    </r>
    <r>
      <rPr>
        <b/>
        <sz val="11"/>
        <color rgb="FFFF0000"/>
        <rFont val="Calibri"/>
      </rPr>
      <t>HUOM! Täytä tunnit päivä- ja sprinttitehtäväkohtaisesti taulukoihin + päiväkohtaiset kuvaukset. Älä täytä tunteja "Tunnit yht." -kohtaan !</t>
    </r>
  </si>
  <si>
    <t>Tiimitapaaminen pidettiin, roolilista laadittiin, ja GitHub sekä Drive luotiin.</t>
  </si>
  <si>
    <t>Kirjallisuushaku ja artikkelien tiivistelmät viimeisteltiin, sekä aloitettiin Taustatutkimus-, Tekninen määrittely- ja Mittausprotokolla-dokumentit.</t>
  </si>
  <si>
    <t>Suoritettiin riskien ja rajoitusten arviointi sekä ohjaajatapaaminen, jossa päätettiin projektin jatkotoimenpiteistä.</t>
  </si>
  <si>
    <t>Päivitettiin kaikki dokumentit ohjaajapalautteen perusteella ja valmisteltiin Väliarvioinnin esitys (mid-review).</t>
  </si>
  <si>
    <t>Sprintin numero: 1 | Pvm: 30.10.25 | Ryhmä: the A-team</t>
  </si>
  <si>
    <t>Riskitaulukko laadittiin, jossa arvioitiin tekniset, eettiset ja sääntelyyn liittyvät riskit sekä määritettiin vähennystoimet.</t>
  </si>
  <si>
    <t>Ohjaajan kanssa pidettiin tapaaminen, päätökset kirjattiin pöytäkirjaan ja dokumentit päivitettiin palautteen perusteella.</t>
  </si>
  <si>
    <t>Laadittiin 5 dian esitys, joka esitteli projektin tavoitteen, taustatutkimuksen, tekniset vaatimukset ja mittausprotokollan.</t>
  </si>
  <si>
    <t>Prior</t>
  </si>
  <si>
    <t>h/arvio</t>
  </si>
  <si>
    <t>Tt</t>
  </si>
  <si>
    <t>S/n</t>
  </si>
  <si>
    <t>SPRINTTI 1: ma 27.10 - ma 11.11</t>
  </si>
  <si>
    <t>Sprintin numero: 1 | Pvm: 30.10.2025 | Ryhmä: the A-team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</si>
</sst>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\.yyyy"/>
  </numFmts>
  <fonts count="2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A5A5A5"/>
      <name val="Calibri"/>
    </font>
    <font>
      <b/>
      <sz val="16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sz val="9"/>
      <color rgb="FFA5A5A5"/>
      <name val="Calibri"/>
    </font>
    <font>
      <sz val="9"/>
      <color theme="1"/>
      <name val="Calibri"/>
    </font>
    <font>
      <b/>
      <sz val="14"/>
      <color theme="1"/>
      <name val="Calibri"/>
    </font>
    <font>
      <b/>
      <sz val="11"/>
      <color theme="5"/>
      <name val="Calibri"/>
    </font>
    <font>
      <b/>
      <sz val="9"/>
      <color theme="5"/>
      <name val="Calibri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9"/>
      <color theme="1"/>
      <name val="Calibri"/>
    </font>
    <font>
      <b/>
      <sz val="11"/>
      <color rgb="FFFF0000"/>
      <name val="Calibri"/>
    </font>
    <font>
      <sz val="8"/>
      <color theme="1"/>
      <name val="Calibri"/>
    </font>
    <font>
      <sz val="8"/>
      <color theme="1"/>
      <name val="Calibri"/>
      <family val="2"/>
    </font>
    <font>
      <b/>
      <sz val="8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rgb="FFBDD6EE"/>
        <bgColor rgb="FFBDD6EE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FBE4D5"/>
        <bgColor rgb="FFFBE4D5"/>
      </patternFill>
    </fill>
    <fill>
      <patternFill patternType="solid">
        <fgColor rgb="FFBFBFBF"/>
        <bgColor rgb="FFBFBFBF"/>
      </patternFill>
    </fill>
  </fills>
  <borders count="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6" fillId="0" borderId="0" xfId="0" applyFont="1"/>
    <xf numFmtId="49" fontId="3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49" fontId="9" fillId="0" borderId="0" xfId="0" applyNumberFormat="1" applyFont="1"/>
    <xf numFmtId="0" fontId="11" fillId="0" borderId="0" xfId="0" applyFont="1"/>
    <xf numFmtId="0" fontId="12" fillId="0" borderId="0" xfId="0" applyFont="1"/>
    <xf numFmtId="49" fontId="5" fillId="0" borderId="0" xfId="0" applyNumberFormat="1" applyFont="1"/>
    <xf numFmtId="0" fontId="6" fillId="2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2" borderId="4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left"/>
    </xf>
    <xf numFmtId="0" fontId="6" fillId="0" borderId="0" xfId="0" applyFont="1" applyAlignment="1">
      <alignment horizontal="center"/>
    </xf>
    <xf numFmtId="0" fontId="5" fillId="0" borderId="4" xfId="0" applyFont="1" applyBorder="1" applyAlignment="1">
      <alignment horizontal="left"/>
    </xf>
    <xf numFmtId="0" fontId="5" fillId="0" borderId="4" xfId="0" applyFont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0" borderId="4" xfId="0" applyFont="1" applyBorder="1"/>
    <xf numFmtId="0" fontId="5" fillId="0" borderId="4" xfId="0" applyFont="1" applyBorder="1"/>
    <xf numFmtId="0" fontId="13" fillId="0" borderId="0" xfId="0" applyFont="1"/>
    <xf numFmtId="49" fontId="8" fillId="0" borderId="0" xfId="0" applyNumberFormat="1" applyFont="1"/>
    <xf numFmtId="0" fontId="14" fillId="0" borderId="0" xfId="0" applyFont="1" applyAlignment="1">
      <alignment horizontal="center"/>
    </xf>
    <xf numFmtId="0" fontId="4" fillId="3" borderId="1" xfId="0" applyFont="1" applyFill="1" applyBorder="1"/>
    <xf numFmtId="0" fontId="5" fillId="3" borderId="2" xfId="0" applyFont="1" applyFill="1" applyBorder="1"/>
    <xf numFmtId="0" fontId="5" fillId="3" borderId="3" xfId="0" applyFont="1" applyFill="1" applyBorder="1"/>
    <xf numFmtId="0" fontId="6" fillId="3" borderId="4" xfId="0" applyFont="1" applyFill="1" applyBorder="1" applyAlignment="1">
      <alignment horizontal="center" vertical="center"/>
    </xf>
    <xf numFmtId="49" fontId="6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center"/>
    </xf>
    <xf numFmtId="0" fontId="5" fillId="0" borderId="0" xfId="0" applyFont="1"/>
    <xf numFmtId="0" fontId="4" fillId="4" borderId="1" xfId="0" applyFont="1" applyFill="1" applyBorder="1"/>
    <xf numFmtId="0" fontId="5" fillId="4" borderId="2" xfId="0" applyFont="1" applyFill="1" applyBorder="1"/>
    <xf numFmtId="0" fontId="5" fillId="4" borderId="3" xfId="0" applyFont="1" applyFill="1" applyBorder="1"/>
    <xf numFmtId="0" fontId="6" fillId="4" borderId="4" xfId="0" applyFont="1" applyFill="1" applyBorder="1" applyAlignment="1">
      <alignment horizontal="center" vertical="center"/>
    </xf>
    <xf numFmtId="49" fontId="6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6" fillId="4" borderId="4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14" fontId="9" fillId="0" borderId="0" xfId="0" applyNumberFormat="1" applyFont="1" applyAlignment="1">
      <alignment vertical="center"/>
    </xf>
    <xf numFmtId="14" fontId="5" fillId="0" borderId="0" xfId="0" applyNumberFormat="1" applyFont="1" applyAlignment="1">
      <alignment vertical="center"/>
    </xf>
    <xf numFmtId="14" fontId="6" fillId="5" borderId="4" xfId="0" applyNumberFormat="1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center"/>
    </xf>
    <xf numFmtId="14" fontId="5" fillId="0" borderId="4" xfId="0" applyNumberFormat="1" applyFont="1" applyBorder="1" applyAlignment="1">
      <alignment vertical="center"/>
    </xf>
    <xf numFmtId="14" fontId="5" fillId="5" borderId="4" xfId="0" applyNumberFormat="1" applyFont="1" applyFill="1" applyBorder="1" applyAlignment="1">
      <alignment horizontal="right" vertical="center"/>
    </xf>
    <xf numFmtId="0" fontId="5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right" vertical="center" wrapText="1"/>
    </xf>
    <xf numFmtId="0" fontId="5" fillId="6" borderId="4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6" borderId="4" xfId="0" applyFont="1" applyFill="1" applyBorder="1" applyAlignment="1">
      <alignment horizontal="left" vertical="center"/>
    </xf>
    <xf numFmtId="14" fontId="6" fillId="3" borderId="4" xfId="0" applyNumberFormat="1" applyFont="1" applyFill="1" applyBorder="1" applyAlignment="1">
      <alignment vertical="center"/>
    </xf>
    <xf numFmtId="14" fontId="5" fillId="3" borderId="4" xfId="0" applyNumberFormat="1" applyFont="1" applyFill="1" applyBorder="1" applyAlignment="1">
      <alignment horizontal="right" vertical="center"/>
    </xf>
    <xf numFmtId="0" fontId="5" fillId="3" borderId="4" xfId="0" applyFont="1" applyFill="1" applyBorder="1" applyAlignment="1">
      <alignment horizontal="center"/>
    </xf>
    <xf numFmtId="14" fontId="6" fillId="4" borderId="4" xfId="0" applyNumberFormat="1" applyFont="1" applyFill="1" applyBorder="1" applyAlignment="1">
      <alignment vertical="center"/>
    </xf>
    <xf numFmtId="14" fontId="5" fillId="4" borderId="4" xfId="0" applyNumberFormat="1" applyFont="1" applyFill="1" applyBorder="1" applyAlignment="1">
      <alignment horizontal="right" vertical="center"/>
    </xf>
    <xf numFmtId="0" fontId="5" fillId="4" borderId="4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14" fontId="15" fillId="0" borderId="0" xfId="0" applyNumberFormat="1" applyFont="1" applyAlignment="1">
      <alignment vertical="center"/>
    </xf>
    <xf numFmtId="0" fontId="6" fillId="0" borderId="0" xfId="0" applyFont="1" applyAlignment="1">
      <alignment horizontal="left"/>
    </xf>
    <xf numFmtId="164" fontId="5" fillId="0" borderId="0" xfId="0" applyNumberFormat="1" applyFont="1" applyAlignment="1">
      <alignment horizontal="left"/>
    </xf>
    <xf numFmtId="0" fontId="6" fillId="5" borderId="4" xfId="0" applyFont="1" applyFill="1" applyBorder="1" applyAlignment="1">
      <alignment horizontal="left"/>
    </xf>
    <xf numFmtId="14" fontId="5" fillId="0" borderId="4" xfId="0" applyNumberFormat="1" applyFont="1" applyBorder="1" applyAlignment="1">
      <alignment horizontal="right" vertical="center"/>
    </xf>
    <xf numFmtId="0" fontId="6" fillId="7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6" fillId="0" borderId="4" xfId="0" applyFont="1" applyBorder="1" applyAlignment="1">
      <alignment horizontal="left" vertical="center" wrapText="1"/>
    </xf>
    <xf numFmtId="0" fontId="6" fillId="7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6" fillId="4" borderId="4" xfId="0" applyFont="1" applyFill="1" applyBorder="1" applyAlignment="1">
      <alignment horizontal="left"/>
    </xf>
    <xf numFmtId="0" fontId="5" fillId="4" borderId="4" xfId="0" applyFont="1" applyFill="1" applyBorder="1" applyAlignment="1">
      <alignment horizontal="left"/>
    </xf>
    <xf numFmtId="14" fontId="6" fillId="0" borderId="0" xfId="0" applyNumberFormat="1" applyFont="1" applyAlignment="1">
      <alignment vertical="center"/>
    </xf>
    <xf numFmtId="0" fontId="17" fillId="0" borderId="4" xfId="0" applyFont="1" applyBorder="1" applyAlignment="1">
      <alignment horizontal="left"/>
    </xf>
    <xf numFmtId="0" fontId="2" fillId="0" borderId="0" xfId="0" applyFont="1"/>
    <xf numFmtId="0" fontId="17" fillId="0" borderId="4" xfId="0" applyFont="1" applyBorder="1" applyAlignment="1">
      <alignment horizontal="center"/>
    </xf>
    <xf numFmtId="0" fontId="18" fillId="2" borderId="4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20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38101</xdr:colOff>
      <xdr:row>6</xdr:row>
      <xdr:rowOff>66675</xdr:rowOff>
    </xdr:from>
    <xdr:ext cx="7962900" cy="13811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8101" y="1126041"/>
          <a:ext cx="7962900" cy="138112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ma 27.10): 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avulla.Järjestelmä pystyy tunnistamaan liikkeen tyypin (kyykky, kävely, sivuttaisliike) ja arvioimaan sen biomekaanisen oikeellisuuden, kuten polven varus- ja valgus-poikkeamat.</a:t>
          </a:r>
          <a:br>
            <a:rPr lang="en-US" sz="1100" b="0">
              <a:solidFill>
                <a:sysClr val="windowText" lastClr="000000"/>
              </a:solidFill>
              <a:latin typeface="+mn-lt"/>
              <a:ea typeface="+mn-ea"/>
              <a:cs typeface="+mn-cs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</xdr:txBody>
    </xdr:sp>
    <xdr:clientData fLocksWithSheet="0"/>
  </xdr:oneCellAnchor>
  <xdr:oneCellAnchor>
    <xdr:from>
      <xdr:col>18</xdr:col>
      <xdr:colOff>577075</xdr:colOff>
      <xdr:row>8</xdr:row>
      <xdr:rowOff>113139</xdr:rowOff>
    </xdr:from>
    <xdr:ext cx="8639175" cy="1000126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21671465" y="1525627"/>
          <a:ext cx="8639175" cy="1000126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to 30.10): </a:t>
          </a:r>
          <a:endParaRPr lang="ru-RU" sz="12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GB" sz="1100"/>
            <a:t>Sprintin 1 aikana saatiin päätökseen projektin tutkimuksellinen ja konseptuaalinen osuus.</a:t>
          </a:r>
          <a:br>
            <a:rPr lang="en-GB" sz="1100"/>
          </a:br>
          <a:r>
            <a:rPr lang="en-GB" sz="1100"/>
            <a:t>Valittiin kohderyhmä, laadittiin käyttäjäprofiilitaulukko ja toteutettiin taustatutkimus viiden tieteellisen lähteen pohjalta.</a:t>
          </a:r>
          <a:br>
            <a:rPr lang="en-GB" sz="1100"/>
          </a:br>
          <a:r>
            <a:rPr lang="en-GB" sz="1100"/>
            <a:t>Luotiin tekninen spesifikaatio, mittausprotokolla (kyykky &amp; kävely), riskianalyysi ja ohjaajatapaamisen pöytäkirja.</a:t>
          </a:r>
          <a:br>
            <a:rPr lang="en-GB" sz="1100"/>
          </a:br>
          <a:r>
            <a:rPr lang="en-GB" sz="1100"/>
            <a:t>Lisäksi valmisteltiin Väliarvioinnin esitys, joka kokoaa sprintin keskeiset tulokset ja toimii pohjana seuraavalle vaiheelle.</a:t>
          </a:r>
          <a:endParaRPr sz="1100"/>
        </a:p>
      </xdr:txBody>
    </xdr:sp>
    <xdr:clientData fLocksWithSheet="0"/>
  </xdr:oneCellAnchor>
  <xdr:oneCellAnchor>
    <xdr:from>
      <xdr:col>8</xdr:col>
      <xdr:colOff>18819</xdr:colOff>
      <xdr:row>6</xdr:row>
      <xdr:rowOff>40655</xdr:rowOff>
    </xdr:from>
    <xdr:ext cx="11494816" cy="165990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8595965" y="1100021"/>
          <a:ext cx="11494816" cy="165990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ma 27.10): </a:t>
          </a:r>
          <a:br>
            <a:rPr lang="en-US" sz="1100" b="0">
              <a:solidFill>
                <a:sysClr val="windowText" lastClr="000000"/>
              </a:solidFill>
              <a:latin typeface="+mn-lt"/>
              <a:ea typeface="+mn-ea"/>
              <a:cs typeface="+mn-cs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1 tavoitteena on saattaa päätökseen projektin tutkimuksellinen ja konseptuaalinen osuus.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Tavoitteena on: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Valita kohderyhmä ja määritellä käyttäjäprofiilit sekä käyttökontekstit.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Toteuttaa taustatutkimus (3–5 tieteellistä lähdettä) ja määrittää mittaustavoitteet ja -vaatimukset.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Laatia tekninen spesifikaatio ja mittausprotokollan luonnos (kyykky- ja kävelytesti).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Kuvata keskeiset riskit ja rajoitukset.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	– Järjestää ohjaajatapaaminen, jossa vahvistetaan tekninen suunnitelma ja seuraavan sprintin painopisteet.</a:t>
          </a:r>
          <a:b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valmis dokumenttipaketti, joka sisältää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Taustatutkimuksen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Suunniteltu käyttö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-taulukon,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Tekniset vaatimukset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,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Riskianalyysin</a:t>
          </a: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 ja </a:t>
          </a:r>
          <a:r>
            <a:rPr lang="en-US" sz="1100" i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Mittausprotokollan luonnoksen</a:t>
          </a:r>
          <a:r>
            <a:rPr lang="en-US" sz="10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.</a:t>
          </a:r>
          <a:endParaRPr sz="10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170585</xdr:rowOff>
    </xdr:from>
    <xdr:ext cx="6972300" cy="1826780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35286373" y="1267403"/>
          <a:ext cx="6972300" cy="182678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to 30.10):</a:t>
          </a:r>
          <a:endParaRPr lang="ru-RU" sz="1200" b="1">
            <a:solidFill>
              <a:schemeClr val="dk1"/>
            </a:solidFill>
            <a:latin typeface="Calibri"/>
            <a:ea typeface="Calibri"/>
            <a:cs typeface="Calibri"/>
            <a:sym typeface="Calibri"/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GB" sz="1100"/>
            <a:t>Sprintti 1 onnistui erinomaisesti: kaikki asetetut tavoitteet saavutettiin huomattavasti suunniteltua aikataulua nopeammin (4 päivää / 19 työtuntia verrattuna alkuperäiseen 14 päivään / 52 tuntiin).</a:t>
          </a:r>
          <a:br>
            <a:rPr lang="en-GB" sz="1100"/>
          </a:br>
          <a:r>
            <a:rPr lang="en-GB" sz="1100"/>
            <a:t>Nopeaan etenemiseen vaikutti selkeä työnjako, jatkuva dokumentointi ja ChatGPT-pohjaisen työskentelymallin hyödyntäminen, joka mahdollisti ideoinnin, lähdeanalyysin ja teknisten määrittelyjen automatisoinnin</a:t>
          </a:r>
          <a:r>
            <a:rPr lang="ru-RU" sz="1100"/>
            <a:t> (</a:t>
          </a:r>
          <a:r>
            <a:rPr lang="fi-FI" sz="1100"/>
            <a:t>free-versio,</a:t>
          </a:r>
          <a:r>
            <a:rPr lang="fi-FI" sz="1100" baseline="0"/>
            <a:t> 2 profiilia</a:t>
          </a:r>
          <a:r>
            <a:rPr lang="ru-RU" sz="1100"/>
            <a:t>)</a:t>
          </a:r>
          <a:r>
            <a:rPr lang="en-GB" sz="1100"/>
            <a:t>.</a:t>
          </a:r>
          <a:br>
            <a:rPr lang="en-GB" sz="1100"/>
          </a:br>
          <a:r>
            <a:rPr lang="en-GB" sz="1100"/>
            <a:t>Tiimi pystyi tuottamaan kaikki keskeiset artefaktit (Taustatutkimus, Tekninen määrittely, Mittausprotokolla, Riskianalyysi ja Väliarviointi-esitys) korkealla laadulla.</a:t>
          </a:r>
          <a:br>
            <a:rPr lang="en-GB" sz="1100"/>
          </a:br>
          <a:r>
            <a:rPr lang="en-GB" sz="1100"/>
            <a:t>Jatkossa sprinttien painopiste siirtyy käytännön toteutukseen: MoveSense-yhteyden integrointi, datan esikäsittely ja tekoälymallin kehittäminen.</a:t>
          </a:r>
          <a:endParaRPr sz="11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7</xdr:col>
      <xdr:colOff>120805</xdr:colOff>
      <xdr:row>8</xdr:row>
      <xdr:rowOff>57150</xdr:rowOff>
    </xdr:from>
    <xdr:ext cx="390292" cy="628650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/>
      </xdr:nvSpPr>
      <xdr:spPr>
        <a:xfrm>
          <a:off x="8103220" y="1469638"/>
          <a:ext cx="390292" cy="628650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16</xdr:col>
      <xdr:colOff>74342</xdr:colOff>
      <xdr:row>10</xdr:row>
      <xdr:rowOff>47625</xdr:rowOff>
    </xdr:from>
    <xdr:ext cx="1356732" cy="6191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/>
      </xdr:nvSpPr>
      <xdr:spPr>
        <a:xfrm>
          <a:off x="20183708" y="1813235"/>
          <a:ext cx="1356732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20</xdr:col>
      <xdr:colOff>799171</xdr:colOff>
      <xdr:row>10</xdr:row>
      <xdr:rowOff>85028</xdr:rowOff>
    </xdr:from>
    <xdr:ext cx="4414025" cy="628650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/>
      </xdr:nvSpPr>
      <xdr:spPr>
        <a:xfrm>
          <a:off x="30563634" y="1850638"/>
          <a:ext cx="4414025" cy="628650"/>
        </a:xfrm>
        <a:prstGeom prst="rightArrow">
          <a:avLst>
            <a:gd name="adj1" fmla="val 50000"/>
            <a:gd name="adj2" fmla="val 50000"/>
          </a:avLst>
        </a:prstGeom>
        <a:solidFill>
          <a:schemeClr val="accent6"/>
        </a:solidFill>
        <a:ln w="12700" cap="flat" cmpd="sng">
          <a:solidFill>
            <a:schemeClr val="accent6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1</xdr:colOff>
      <xdr:row>16</xdr:row>
      <xdr:rowOff>228599</xdr:rowOff>
    </xdr:from>
    <xdr:ext cx="8028878" cy="1927303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1" y="3053575"/>
          <a:ext cx="8028878" cy="1927303"/>
        </a:xfrm>
        <a:prstGeom prst="rect">
          <a:avLst/>
        </a:prstGeom>
        <a:noFill/>
        <a:ln w="57150" cap="flat" cmpd="sng">
          <a:solidFill>
            <a:srgbClr val="A8D08C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6</xdr:row>
      <xdr:rowOff>66675</xdr:rowOff>
    </xdr:from>
    <xdr:ext cx="7962900" cy="14192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1374075" y="3098963"/>
          <a:ext cx="7943850" cy="136207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ti 11.11):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Järjestelmä pystyy tunnistamaan liikkeen tyypin (kyykky, kävely, sivuttaisliike) ja arvioimaan sen biomekaanisen oikeellisuuden, kuten polven varus- ja 	valgus-poikkeamat.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38100</xdr:colOff>
      <xdr:row>6</xdr:row>
      <xdr:rowOff>66675</xdr:rowOff>
    </xdr:from>
    <xdr:ext cx="8639175" cy="1390650"/>
    <xdr:sp macro="" textlink="">
      <xdr:nvSpPr>
        <xdr:cNvPr id="12" name="Shape 1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1040700" y="3094200"/>
          <a:ext cx="8610600" cy="1371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ti 25.11): </a:t>
          </a:r>
          <a:endParaRPr sz="1400"/>
        </a:p>
      </xdr:txBody>
    </xdr:sp>
    <xdr:clientData fLocksWithSheet="0"/>
  </xdr:oneCellAnchor>
  <xdr:oneCellAnchor>
    <xdr:from>
      <xdr:col>8</xdr:col>
      <xdr:colOff>38100</xdr:colOff>
      <xdr:row>6</xdr:row>
      <xdr:rowOff>66675</xdr:rowOff>
    </xdr:from>
    <xdr:ext cx="10696575" cy="1381125"/>
    <xdr:sp macro="" textlink="">
      <xdr:nvSpPr>
        <xdr:cNvPr id="13" name="Shape 13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0" y="3098963"/>
          <a:ext cx="10692000" cy="13620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ti 11.11):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2 tavoitteena on kehittää ensimmäinen toimiva prototyyppi, joka kerää, käsittelee ja visualisoi MoveSense-anturidataa.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Sprintissä keskitytään anturiyhteyden toteutukseen, datan suodatukseen ja kulmalaskentaan sekä tekoälypohjaiseen liikkeen tunnistukseen. Lisäksi valmistellaan käyttöliittymän (Figma) ensimmäinen versio ja mid-review-esityksen demoversio.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toimiva prototyyppi, joka tunnistaa perusliikkeet (kyykky, kävely, sivuttaisliike) ja esittää ne visuaalisesti käyttöliittymässä.</a:t>
          </a:r>
          <a:endParaRPr sz="1100" b="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4019550"/>
    <xdr:sp macro="" textlink="">
      <xdr:nvSpPr>
        <xdr:cNvPr id="14" name="Shape 14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1874138" y="1784513"/>
          <a:ext cx="6943725" cy="39909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ti 25.11):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247650</xdr:colOff>
      <xdr:row>8</xdr:row>
      <xdr:rowOff>57150</xdr:rowOff>
    </xdr:from>
    <xdr:ext cx="885825" cy="628650"/>
    <xdr:sp macro="" textlink="">
      <xdr:nvSpPr>
        <xdr:cNvPr id="15" name="Shape 15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/>
      </xdr:nvSpPr>
      <xdr:spPr>
        <a:xfrm>
          <a:off x="4912613" y="3470438"/>
          <a:ext cx="86677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914400</xdr:colOff>
      <xdr:row>8</xdr:row>
      <xdr:rowOff>47625</xdr:rowOff>
    </xdr:from>
    <xdr:ext cx="857250" cy="619125"/>
    <xdr:sp macro="" textlink="">
      <xdr:nvSpPr>
        <xdr:cNvPr id="16" name="Shape 16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/>
      </xdr:nvSpPr>
      <xdr:spPr>
        <a:xfrm>
          <a:off x="4922138" y="3475200"/>
          <a:ext cx="847725" cy="6096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24</xdr:col>
      <xdr:colOff>885825</xdr:colOff>
      <xdr:row>8</xdr:row>
      <xdr:rowOff>57150</xdr:rowOff>
    </xdr:from>
    <xdr:ext cx="857250" cy="628650"/>
    <xdr:sp macro="" textlink="">
      <xdr:nvSpPr>
        <xdr:cNvPr id="17" name="Shape 17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/>
      </xdr:nvSpPr>
      <xdr:spPr>
        <a:xfrm>
          <a:off x="4922138" y="3470438"/>
          <a:ext cx="84772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9525</xdr:colOff>
      <xdr:row>26</xdr:row>
      <xdr:rowOff>152400</xdr:rowOff>
    </xdr:from>
    <xdr:ext cx="9767521" cy="1852246"/>
    <xdr:sp macro="" textlink="">
      <xdr:nvSpPr>
        <xdr:cNvPr id="18" name="Shape 18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/>
      </xdr:nvSpPr>
      <xdr:spPr>
        <a:xfrm>
          <a:off x="9525" y="4853354"/>
          <a:ext cx="9767521" cy="1852246"/>
        </a:xfrm>
        <a:prstGeom prst="rect">
          <a:avLst/>
        </a:prstGeom>
        <a:noFill/>
        <a:ln w="57150" cap="flat" cmpd="sng">
          <a:solidFill>
            <a:srgbClr val="9CC2E5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6</xdr:row>
      <xdr:rowOff>66675</xdr:rowOff>
    </xdr:from>
    <xdr:ext cx="8258175" cy="1419225"/>
    <xdr:sp macro="" textlink="">
      <xdr:nvSpPr>
        <xdr:cNvPr id="19" name="Shape 19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/>
      </xdr:nvSpPr>
      <xdr:spPr>
        <a:xfrm>
          <a:off x="1226438" y="3098963"/>
          <a:ext cx="8239125" cy="1362075"/>
        </a:xfrm>
        <a:prstGeom prst="rect">
          <a:avLst/>
        </a:prstGeom>
        <a:solidFill>
          <a:srgbClr val="FFFFFF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tavoite (valmis ke 26.11): </a:t>
          </a:r>
          <a:endParaRPr sz="1100" b="1">
            <a:solidFill>
              <a:schemeClr val="dk1"/>
            </a:solidFill>
          </a:endParaRPr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Projektin tavoitteena on kehittää tekoälypohjainen järjestelmä, joka tunnistaa ja analysoi alaraajan liikkeitä MoveSense-anturidatan avulla.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Järjestelmä pystyy tunnistamaan liikkeen tyypin (kyykky, kävely, sivuttaisliike) ja arvioimaan sen biomekaanisen oikeellisuuden, kuten polven varus- ja valgus-	poikkeamat.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Pitkän aikavälin tavoitteena on tuottaa ratkaisu, jota voidaan hyödyntää urheilussa, kuntoutuksessa ja terveysteknologiassa liikeanalyysin ja nivelrikon riskin arvioinnin tukena.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17</xdr:col>
      <xdr:colOff>38100</xdr:colOff>
      <xdr:row>6</xdr:row>
      <xdr:rowOff>66675</xdr:rowOff>
    </xdr:from>
    <xdr:ext cx="8639175" cy="1390650"/>
    <xdr:sp macro="" textlink="">
      <xdr:nvSpPr>
        <xdr:cNvPr id="20" name="Shape 20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/>
      </xdr:nvSpPr>
      <xdr:spPr>
        <a:xfrm>
          <a:off x="1040700" y="3094200"/>
          <a:ext cx="8610600" cy="13716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Sprintissa saavutetut inkrementit (valmis ke 10.12): </a:t>
          </a:r>
          <a:endParaRPr sz="1400"/>
        </a:p>
      </xdr:txBody>
    </xdr:sp>
    <xdr:clientData fLocksWithSheet="0"/>
  </xdr:oneCellAnchor>
  <xdr:oneCellAnchor>
    <xdr:from>
      <xdr:col>8</xdr:col>
      <xdr:colOff>38100</xdr:colOff>
      <xdr:row>6</xdr:row>
      <xdr:rowOff>66675</xdr:rowOff>
    </xdr:from>
    <xdr:ext cx="10534650" cy="1381125"/>
    <xdr:sp macro="" textlink="">
      <xdr:nvSpPr>
        <xdr:cNvPr id="21" name="Shape 21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/>
      </xdr:nvSpPr>
      <xdr:spPr>
        <a:xfrm>
          <a:off x="88200" y="3098963"/>
          <a:ext cx="10515600" cy="1362000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tavoite (valmis ke 26.11): </a:t>
          </a:r>
          <a:endParaRPr sz="1100"/>
        </a:p>
        <a:p>
          <a:pPr marL="45720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3 tavoitteena on testata ja validoida AI Motion Analyzer -järjestelmän tarkkuus ja toimivuus todellisissa mittauksissa.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Sprintissä keskitytään kyykky- ja kävelytestien toteutukseen, tulosten analysointiin ja vertailuun kirjallisuuden arvoihin (virhemarginaali 1-3°).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Lisäksi viimeistellään käyttöliittymä ja valmistellaan lopullinen raportti, posteri ja loppuesitys.</a:t>
          </a:r>
          <a:b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</a:br>
          <a:r>
            <a:rPr lang="en-US" sz="1100" b="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lopussa tiimillä on validoitu järjestelmä, joka tunnistaa liikkeet ja tuottaa biomekaanisen analyysin, sekä täydellinen dokumentaatio ja esitysmateriaali projektin arviointia varten.</a:t>
          </a:r>
          <a:endParaRPr sz="1100" b="0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26</xdr:col>
      <xdr:colOff>38100</xdr:colOff>
      <xdr:row>6</xdr:row>
      <xdr:rowOff>66675</xdr:rowOff>
    </xdr:from>
    <xdr:ext cx="6972300" cy="4019550"/>
    <xdr:sp macro="" textlink="">
      <xdr:nvSpPr>
        <xdr:cNvPr id="22" name="Shape 22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 txBox="1"/>
      </xdr:nvSpPr>
      <xdr:spPr>
        <a:xfrm>
          <a:off x="1874138" y="1784513"/>
          <a:ext cx="6943725" cy="3990975"/>
        </a:xfrm>
        <a:prstGeom prst="rect">
          <a:avLst/>
        </a:prstGeom>
        <a:solidFill>
          <a:schemeClr val="lt1"/>
        </a:solidFill>
        <a:ln w="25400" cap="flat" cmpd="sng">
          <a:solidFill>
            <a:schemeClr val="accent2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Sprintin retrospektiivipalaverin yhteenveto (valmis ke 10.12):</a:t>
          </a:r>
          <a:endParaRPr sz="1200" b="1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6</xdr:col>
      <xdr:colOff>238125</xdr:colOff>
      <xdr:row>8</xdr:row>
      <xdr:rowOff>38100</xdr:rowOff>
    </xdr:from>
    <xdr:ext cx="885825" cy="628650"/>
    <xdr:sp macro="" textlink="">
      <xdr:nvSpPr>
        <xdr:cNvPr id="23" name="Shape 23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4912613" y="3470438"/>
          <a:ext cx="86677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15</xdr:col>
      <xdr:colOff>904875</xdr:colOff>
      <xdr:row>8</xdr:row>
      <xdr:rowOff>28575</xdr:rowOff>
    </xdr:from>
    <xdr:ext cx="857250" cy="628650"/>
    <xdr:sp macro="" textlink="">
      <xdr:nvSpPr>
        <xdr:cNvPr id="24" name="Shape 24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4922138" y="3475200"/>
          <a:ext cx="847725" cy="6096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24</xdr:col>
      <xdr:colOff>876300</xdr:colOff>
      <xdr:row>8</xdr:row>
      <xdr:rowOff>47625</xdr:rowOff>
    </xdr:from>
    <xdr:ext cx="857250" cy="628650"/>
    <xdr:sp macro="" textlink="">
      <xdr:nvSpPr>
        <xdr:cNvPr id="25" name="Shape 25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4922138" y="3470438"/>
          <a:ext cx="847725" cy="619125"/>
        </a:xfrm>
        <a:prstGeom prst="rightArrow">
          <a:avLst>
            <a:gd name="adj1" fmla="val 50000"/>
            <a:gd name="adj2" fmla="val 50000"/>
          </a:avLst>
        </a:prstGeom>
        <a:solidFill>
          <a:schemeClr val="accent2"/>
        </a:solidFill>
        <a:ln w="12700" cap="flat" cmpd="sng">
          <a:solidFill>
            <a:schemeClr val="accent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36</xdr:row>
      <xdr:rowOff>112059</xdr:rowOff>
    </xdr:from>
    <xdr:ext cx="9457765" cy="1916206"/>
    <xdr:sp macro="" textlink="">
      <xdr:nvSpPr>
        <xdr:cNvPr id="26" name="Shape 26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0" y="6689912"/>
          <a:ext cx="9457765" cy="1916206"/>
        </a:xfrm>
        <a:prstGeom prst="rect">
          <a:avLst/>
        </a:prstGeom>
        <a:noFill/>
        <a:ln w="57150" cap="flat" cmpd="sng">
          <a:solidFill>
            <a:srgbClr val="F4B08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0"/>
  <sheetViews>
    <sheetView tabSelected="1" zoomScale="66" workbookViewId="0">
      <selection activeCell="AG23" sqref="AG23"/>
    </sheetView>
  </sheetViews>
  <sheetFormatPr defaultColWidth="14.44140625" defaultRowHeight="15" customHeight="1" x14ac:dyDescent="0.3"/>
  <cols>
    <col min="1" max="1" width="5.6640625" customWidth="1"/>
    <col min="2" max="2" width="53.109375" customWidth="1"/>
    <col min="3" max="3" width="25.88671875" customWidth="1"/>
    <col min="4" max="4" width="7.77734375" customWidth="1"/>
    <col min="5" max="5" width="6.6640625" customWidth="1"/>
    <col min="6" max="6" width="8" customWidth="1"/>
    <col min="7" max="7" width="9.33203125" customWidth="1"/>
    <col min="8" max="8" width="8.6640625" customWidth="1"/>
    <col min="9" max="9" width="5.6640625" customWidth="1"/>
    <col min="10" max="10" width="43.21875" customWidth="1"/>
    <col min="11" max="11" width="46.6640625" customWidth="1"/>
    <col min="12" max="12" width="22.109375" customWidth="1"/>
    <col min="13" max="13" width="5.6640625" customWidth="1"/>
    <col min="14" max="14" width="20.44140625" customWidth="1"/>
    <col min="15" max="15" width="17.77734375" customWidth="1"/>
    <col min="16" max="16" width="6.6640625" customWidth="1"/>
    <col min="17" max="17" width="8.6640625" customWidth="1"/>
    <col min="18" max="18" width="5.6640625" customWidth="1"/>
    <col min="19" max="19" width="42.6640625" customWidth="1"/>
    <col min="20" max="20" width="83.77734375" customWidth="1"/>
    <col min="21" max="21" width="22.5546875" customWidth="1"/>
    <col min="22" max="22" width="4.77734375" customWidth="1"/>
    <col min="23" max="23" width="21" customWidth="1"/>
    <col min="24" max="24" width="17.77734375" customWidth="1"/>
    <col min="25" max="25" width="5.10937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3.8" customHeight="1" x14ac:dyDescent="0.3">
      <c r="A2" s="1"/>
    </row>
    <row r="3" spans="1:38" ht="18.600000000000001" customHeight="1" x14ac:dyDescent="0.4">
      <c r="A3" s="2" t="s">
        <v>224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4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1</v>
      </c>
      <c r="D5" s="10"/>
      <c r="I5" s="11" t="s">
        <v>2</v>
      </c>
      <c r="J5" s="8"/>
      <c r="K5" s="8"/>
      <c r="L5" s="8"/>
      <c r="M5" s="12"/>
      <c r="N5" s="8"/>
      <c r="O5" s="8"/>
      <c r="P5" s="8"/>
      <c r="R5" s="11"/>
      <c r="S5" s="86" t="s">
        <v>3</v>
      </c>
      <c r="V5" s="10"/>
      <c r="AA5" s="11" t="s">
        <v>4</v>
      </c>
      <c r="AE5" s="10"/>
    </row>
    <row r="6" spans="1:38" ht="14.25" customHeight="1" x14ac:dyDescent="0.3">
      <c r="A6" s="13" t="s">
        <v>5</v>
      </c>
      <c r="I6" s="13" t="s">
        <v>6</v>
      </c>
      <c r="J6" s="8"/>
      <c r="K6" s="8"/>
      <c r="L6" s="8"/>
      <c r="M6" s="8"/>
      <c r="N6" s="8"/>
      <c r="O6" s="8"/>
      <c r="P6" s="8"/>
      <c r="R6" s="81"/>
      <c r="S6" s="81" t="s">
        <v>216</v>
      </c>
      <c r="AA6" s="87" t="s">
        <v>225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15" t="s">
        <v>8</v>
      </c>
      <c r="B17" s="15" t="s">
        <v>9</v>
      </c>
      <c r="C17" s="15" t="s">
        <v>10</v>
      </c>
      <c r="D17" s="84" t="s">
        <v>220</v>
      </c>
      <c r="E17" s="84" t="s">
        <v>223</v>
      </c>
      <c r="F17" s="84" t="s">
        <v>221</v>
      </c>
      <c r="G17" s="15" t="s">
        <v>14</v>
      </c>
      <c r="H17" s="16"/>
      <c r="I17" s="17" t="s">
        <v>8</v>
      </c>
      <c r="J17" s="15" t="s">
        <v>15</v>
      </c>
      <c r="K17" s="15" t="s">
        <v>16</v>
      </c>
      <c r="L17" s="15" t="s">
        <v>10</v>
      </c>
      <c r="M17" s="84" t="s">
        <v>220</v>
      </c>
      <c r="N17" s="15" t="s">
        <v>17</v>
      </c>
      <c r="O17" s="15" t="s">
        <v>18</v>
      </c>
      <c r="P17" s="84" t="s">
        <v>221</v>
      </c>
      <c r="Q17" s="18"/>
      <c r="R17" s="17" t="s">
        <v>8</v>
      </c>
      <c r="S17" s="15" t="s">
        <v>19</v>
      </c>
      <c r="T17" s="15" t="s">
        <v>20</v>
      </c>
      <c r="U17" s="15" t="s">
        <v>10</v>
      </c>
      <c r="V17" s="84" t="s">
        <v>220</v>
      </c>
      <c r="W17" s="15" t="s">
        <v>17</v>
      </c>
      <c r="X17" s="15" t="s">
        <v>18</v>
      </c>
      <c r="Y17" s="84" t="s">
        <v>222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19" t="s">
        <v>22</v>
      </c>
      <c r="B18" s="20" t="s">
        <v>23</v>
      </c>
      <c r="C18" s="19" t="s">
        <v>24</v>
      </c>
      <c r="D18" s="19">
        <v>1</v>
      </c>
      <c r="E18" s="19">
        <v>1</v>
      </c>
      <c r="F18" s="19">
        <v>4</v>
      </c>
      <c r="G18" s="19" t="s">
        <v>25</v>
      </c>
      <c r="H18" s="21"/>
      <c r="I18" s="19" t="s">
        <v>26</v>
      </c>
      <c r="J18" s="80" t="s">
        <v>27</v>
      </c>
      <c r="K18" s="80" t="s">
        <v>28</v>
      </c>
      <c r="L18" s="82" t="s">
        <v>24</v>
      </c>
      <c r="M18" s="82">
        <v>1</v>
      </c>
      <c r="N18" s="82" t="s">
        <v>29</v>
      </c>
      <c r="O18" s="82" t="s">
        <v>30</v>
      </c>
      <c r="P18" s="82">
        <v>4</v>
      </c>
      <c r="R18" s="23" t="s">
        <v>26</v>
      </c>
      <c r="S18" s="80" t="s">
        <v>27</v>
      </c>
      <c r="T18" s="80" t="s">
        <v>212</v>
      </c>
      <c r="U18" s="82" t="s">
        <v>24</v>
      </c>
      <c r="V18" s="85">
        <v>1</v>
      </c>
      <c r="W18" s="82" t="s">
        <v>29</v>
      </c>
      <c r="X18" s="82" t="s">
        <v>30</v>
      </c>
      <c r="Y18" s="83">
        <f>'Työaika ryhmä'!I21</f>
        <v>1</v>
      </c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</row>
    <row r="19" spans="1:39" ht="14.25" customHeight="1" x14ac:dyDescent="0.3">
      <c r="A19" s="19" t="s">
        <v>31</v>
      </c>
      <c r="B19" s="20" t="s">
        <v>32</v>
      </c>
      <c r="C19" s="19" t="s">
        <v>24</v>
      </c>
      <c r="D19" s="19">
        <v>1</v>
      </c>
      <c r="E19" s="19">
        <v>1</v>
      </c>
      <c r="F19" s="19">
        <v>6</v>
      </c>
      <c r="G19" s="19" t="s">
        <v>25</v>
      </c>
      <c r="H19" s="21"/>
      <c r="I19" s="19" t="s">
        <v>33</v>
      </c>
      <c r="J19" s="80" t="s">
        <v>32</v>
      </c>
      <c r="K19" s="80" t="s">
        <v>34</v>
      </c>
      <c r="L19" s="82" t="s">
        <v>24</v>
      </c>
      <c r="M19" s="82">
        <v>1</v>
      </c>
      <c r="N19" s="82" t="s">
        <v>35</v>
      </c>
      <c r="O19" s="82" t="s">
        <v>36</v>
      </c>
      <c r="P19" s="82">
        <v>6</v>
      </c>
      <c r="R19" s="23" t="s">
        <v>33</v>
      </c>
      <c r="S19" s="80" t="s">
        <v>32</v>
      </c>
      <c r="T19" s="80" t="s">
        <v>37</v>
      </c>
      <c r="U19" s="82" t="s">
        <v>24</v>
      </c>
      <c r="V19" s="85">
        <v>1</v>
      </c>
      <c r="W19" s="82" t="s">
        <v>35</v>
      </c>
      <c r="X19" s="82" t="s">
        <v>36</v>
      </c>
      <c r="Y19" s="83">
        <f>'Työaika ryhmä'!J21</f>
        <v>1</v>
      </c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</row>
    <row r="20" spans="1:39" ht="14.25" customHeight="1" x14ac:dyDescent="0.3">
      <c r="A20" s="19" t="s">
        <v>38</v>
      </c>
      <c r="B20" s="20" t="s">
        <v>39</v>
      </c>
      <c r="C20" s="19" t="s">
        <v>40</v>
      </c>
      <c r="D20" s="19">
        <v>1</v>
      </c>
      <c r="E20" s="19">
        <v>1</v>
      </c>
      <c r="F20" s="19">
        <v>4</v>
      </c>
      <c r="G20" s="19" t="s">
        <v>25</v>
      </c>
      <c r="H20" s="21"/>
      <c r="I20" s="19" t="s">
        <v>41</v>
      </c>
      <c r="J20" s="80" t="s">
        <v>39</v>
      </c>
      <c r="K20" s="80" t="s">
        <v>42</v>
      </c>
      <c r="L20" s="82" t="s">
        <v>40</v>
      </c>
      <c r="M20" s="82">
        <v>1</v>
      </c>
      <c r="N20" s="82" t="s">
        <v>35</v>
      </c>
      <c r="O20" s="82" t="s">
        <v>30</v>
      </c>
      <c r="P20" s="82">
        <v>4</v>
      </c>
      <c r="R20" s="23" t="s">
        <v>41</v>
      </c>
      <c r="S20" s="80" t="s">
        <v>39</v>
      </c>
      <c r="T20" s="80" t="s">
        <v>43</v>
      </c>
      <c r="U20" s="82" t="s">
        <v>40</v>
      </c>
      <c r="V20" s="85">
        <v>1</v>
      </c>
      <c r="W20" s="82" t="s">
        <v>35</v>
      </c>
      <c r="X20" s="82" t="s">
        <v>30</v>
      </c>
      <c r="Y20" s="83">
        <f>'Työaika ryhmä'!K21</f>
        <v>1</v>
      </c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</row>
    <row r="21" spans="1:39" ht="14.25" customHeight="1" x14ac:dyDescent="0.3">
      <c r="A21" s="19" t="s">
        <v>44</v>
      </c>
      <c r="B21" s="20" t="s">
        <v>45</v>
      </c>
      <c r="C21" s="19" t="s">
        <v>40</v>
      </c>
      <c r="D21" s="19">
        <v>1</v>
      </c>
      <c r="E21" s="19">
        <v>1</v>
      </c>
      <c r="F21" s="19">
        <v>10</v>
      </c>
      <c r="G21" s="19" t="s">
        <v>25</v>
      </c>
      <c r="H21" s="21"/>
      <c r="I21" s="19" t="s">
        <v>46</v>
      </c>
      <c r="J21" s="80" t="s">
        <v>45</v>
      </c>
      <c r="K21" s="80" t="s">
        <v>47</v>
      </c>
      <c r="L21" s="82" t="s">
        <v>40</v>
      </c>
      <c r="M21" s="82">
        <v>1</v>
      </c>
      <c r="N21" s="82" t="s">
        <v>35</v>
      </c>
      <c r="O21" s="82" t="s">
        <v>48</v>
      </c>
      <c r="P21" s="82">
        <v>10</v>
      </c>
      <c r="R21" s="23" t="s">
        <v>46</v>
      </c>
      <c r="S21" s="80" t="s">
        <v>45</v>
      </c>
      <c r="T21" s="80" t="s">
        <v>49</v>
      </c>
      <c r="U21" s="82" t="s">
        <v>40</v>
      </c>
      <c r="V21" s="85">
        <v>1</v>
      </c>
      <c r="W21" s="82" t="s">
        <v>35</v>
      </c>
      <c r="X21" s="82" t="s">
        <v>48</v>
      </c>
      <c r="Y21" s="83">
        <f>'Työaika ryhmä'!L21</f>
        <v>2</v>
      </c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39" ht="14.25" customHeight="1" x14ac:dyDescent="0.3">
      <c r="A22" s="19" t="s">
        <v>50</v>
      </c>
      <c r="B22" s="20" t="s">
        <v>51</v>
      </c>
      <c r="C22" s="19" t="s">
        <v>52</v>
      </c>
      <c r="D22" s="19">
        <v>1</v>
      </c>
      <c r="E22" s="19">
        <v>1</v>
      </c>
      <c r="F22" s="19">
        <v>6</v>
      </c>
      <c r="G22" s="19" t="s">
        <v>25</v>
      </c>
      <c r="H22" s="21"/>
      <c r="I22" s="19" t="s">
        <v>53</v>
      </c>
      <c r="J22" s="80" t="s">
        <v>51</v>
      </c>
      <c r="K22" s="80" t="s">
        <v>54</v>
      </c>
      <c r="L22" s="82" t="s">
        <v>52</v>
      </c>
      <c r="M22" s="82">
        <v>1</v>
      </c>
      <c r="N22" s="82" t="s">
        <v>35</v>
      </c>
      <c r="O22" s="82" t="s">
        <v>30</v>
      </c>
      <c r="P22" s="82">
        <v>6</v>
      </c>
      <c r="R22" s="23" t="s">
        <v>53</v>
      </c>
      <c r="S22" s="80" t="s">
        <v>51</v>
      </c>
      <c r="T22" s="80" t="s">
        <v>55</v>
      </c>
      <c r="U22" s="82" t="s">
        <v>52</v>
      </c>
      <c r="V22" s="85">
        <v>1</v>
      </c>
      <c r="W22" s="82" t="s">
        <v>35</v>
      </c>
      <c r="X22" s="82" t="s">
        <v>30</v>
      </c>
      <c r="Y22" s="83">
        <f>'Työaika ryhmä'!M21</f>
        <v>3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</row>
    <row r="23" spans="1:39" ht="14.25" customHeight="1" x14ac:dyDescent="0.3">
      <c r="A23" s="19" t="s">
        <v>56</v>
      </c>
      <c r="B23" s="20" t="s">
        <v>57</v>
      </c>
      <c r="C23" s="19" t="s">
        <v>58</v>
      </c>
      <c r="D23" s="19">
        <v>1</v>
      </c>
      <c r="E23" s="19">
        <v>1</v>
      </c>
      <c r="F23" s="19">
        <v>6</v>
      </c>
      <c r="G23" s="19" t="s">
        <v>25</v>
      </c>
      <c r="H23" s="21"/>
      <c r="I23" s="19" t="s">
        <v>59</v>
      </c>
      <c r="J23" s="80" t="s">
        <v>57</v>
      </c>
      <c r="K23" s="80" t="s">
        <v>60</v>
      </c>
      <c r="L23" s="82" t="s">
        <v>58</v>
      </c>
      <c r="M23" s="82">
        <v>1</v>
      </c>
      <c r="N23" s="82" t="s">
        <v>61</v>
      </c>
      <c r="O23" s="82" t="s">
        <v>29</v>
      </c>
      <c r="P23" s="82">
        <v>6</v>
      </c>
      <c r="R23" s="23" t="s">
        <v>59</v>
      </c>
      <c r="S23" s="80" t="s">
        <v>57</v>
      </c>
      <c r="T23" s="80" t="s">
        <v>62</v>
      </c>
      <c r="U23" s="82" t="s">
        <v>58</v>
      </c>
      <c r="V23" s="85">
        <v>1</v>
      </c>
      <c r="W23" s="82" t="s">
        <v>61</v>
      </c>
      <c r="X23" s="82" t="s">
        <v>29</v>
      </c>
      <c r="Y23" s="83">
        <f>'Työaika ryhmä'!N21</f>
        <v>2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</row>
    <row r="24" spans="1:39" ht="14.25" customHeight="1" x14ac:dyDescent="0.3">
      <c r="A24" s="19" t="s">
        <v>63</v>
      </c>
      <c r="B24" s="25" t="s">
        <v>64</v>
      </c>
      <c r="C24" s="19" t="s">
        <v>58</v>
      </c>
      <c r="D24" s="19">
        <v>2</v>
      </c>
      <c r="E24" s="19">
        <v>1</v>
      </c>
      <c r="F24" s="19">
        <v>6</v>
      </c>
      <c r="G24" s="19" t="s">
        <v>25</v>
      </c>
      <c r="I24" s="19" t="s">
        <v>65</v>
      </c>
      <c r="J24" s="80" t="s">
        <v>64</v>
      </c>
      <c r="K24" s="80" t="s">
        <v>66</v>
      </c>
      <c r="L24" s="82" t="s">
        <v>58</v>
      </c>
      <c r="M24" s="82">
        <v>2</v>
      </c>
      <c r="N24" s="82" t="s">
        <v>61</v>
      </c>
      <c r="O24" s="82" t="s">
        <v>67</v>
      </c>
      <c r="P24" s="82">
        <v>6</v>
      </c>
      <c r="R24" s="23" t="s">
        <v>65</v>
      </c>
      <c r="S24" s="80" t="s">
        <v>64</v>
      </c>
      <c r="T24" s="80" t="s">
        <v>68</v>
      </c>
      <c r="U24" s="82" t="s">
        <v>58</v>
      </c>
      <c r="V24" s="85">
        <v>2</v>
      </c>
      <c r="W24" s="82" t="s">
        <v>61</v>
      </c>
      <c r="X24" s="82" t="s">
        <v>67</v>
      </c>
      <c r="Y24" s="83">
        <f>'Työaika ryhmä'!O21</f>
        <v>2</v>
      </c>
    </row>
    <row r="25" spans="1:39" ht="14.25" customHeight="1" x14ac:dyDescent="0.3">
      <c r="A25" s="19" t="s">
        <v>69</v>
      </c>
      <c r="B25" s="25" t="s">
        <v>70</v>
      </c>
      <c r="C25" s="19" t="s">
        <v>71</v>
      </c>
      <c r="D25" s="19">
        <v>2</v>
      </c>
      <c r="E25" s="19">
        <v>1</v>
      </c>
      <c r="F25" s="19">
        <v>4</v>
      </c>
      <c r="G25" s="19" t="s">
        <v>25</v>
      </c>
      <c r="I25" s="19" t="s">
        <v>73</v>
      </c>
      <c r="J25" s="80" t="s">
        <v>70</v>
      </c>
      <c r="K25" s="80" t="s">
        <v>74</v>
      </c>
      <c r="L25" s="82" t="s">
        <v>71</v>
      </c>
      <c r="M25" s="82">
        <v>2</v>
      </c>
      <c r="N25" s="82" t="s">
        <v>75</v>
      </c>
      <c r="O25" s="82" t="s">
        <v>30</v>
      </c>
      <c r="P25" s="82">
        <v>4</v>
      </c>
      <c r="R25" s="23" t="s">
        <v>73</v>
      </c>
      <c r="S25" s="80" t="s">
        <v>70</v>
      </c>
      <c r="T25" s="80" t="s">
        <v>217</v>
      </c>
      <c r="U25" s="82" t="s">
        <v>71</v>
      </c>
      <c r="V25" s="85">
        <v>2</v>
      </c>
      <c r="W25" s="82" t="s">
        <v>75</v>
      </c>
      <c r="X25" s="82" t="s">
        <v>30</v>
      </c>
      <c r="Y25" s="83">
        <f>'Työaika ryhmä'!P21</f>
        <v>2</v>
      </c>
    </row>
    <row r="26" spans="1:39" ht="14.25" customHeight="1" x14ac:dyDescent="0.3">
      <c r="A26" s="19" t="s">
        <v>76</v>
      </c>
      <c r="B26" s="25" t="s">
        <v>77</v>
      </c>
      <c r="C26" s="19" t="s">
        <v>78</v>
      </c>
      <c r="D26" s="19">
        <v>1</v>
      </c>
      <c r="E26" s="19">
        <v>1</v>
      </c>
      <c r="F26" s="19">
        <v>2</v>
      </c>
      <c r="G26" s="19" t="s">
        <v>25</v>
      </c>
      <c r="I26" s="19" t="s">
        <v>79</v>
      </c>
      <c r="J26" s="80" t="s">
        <v>77</v>
      </c>
      <c r="K26" s="80" t="s">
        <v>80</v>
      </c>
      <c r="L26" s="82" t="s">
        <v>78</v>
      </c>
      <c r="M26" s="82">
        <v>1</v>
      </c>
      <c r="N26" s="82" t="s">
        <v>29</v>
      </c>
      <c r="O26" s="82" t="s">
        <v>30</v>
      </c>
      <c r="P26" s="82">
        <v>2</v>
      </c>
      <c r="R26" s="23" t="s">
        <v>79</v>
      </c>
      <c r="S26" s="80" t="s">
        <v>77</v>
      </c>
      <c r="T26" s="80" t="s">
        <v>218</v>
      </c>
      <c r="U26" s="82" t="s">
        <v>78</v>
      </c>
      <c r="V26" s="85">
        <v>1</v>
      </c>
      <c r="W26" s="82" t="s">
        <v>29</v>
      </c>
      <c r="X26" s="82" t="s">
        <v>30</v>
      </c>
      <c r="Y26" s="83">
        <f>'Työaika ryhmä'!Q21</f>
        <v>2</v>
      </c>
    </row>
    <row r="27" spans="1:39" ht="14.25" customHeight="1" x14ac:dyDescent="0.3">
      <c r="A27" s="19" t="s">
        <v>81</v>
      </c>
      <c r="B27" s="25" t="s">
        <v>82</v>
      </c>
      <c r="C27" s="19" t="s">
        <v>83</v>
      </c>
      <c r="D27" s="19">
        <v>2</v>
      </c>
      <c r="E27" s="19">
        <v>1</v>
      </c>
      <c r="F27" s="19">
        <v>4</v>
      </c>
      <c r="G27" s="19" t="s">
        <v>25</v>
      </c>
      <c r="I27" s="19" t="s">
        <v>84</v>
      </c>
      <c r="J27" s="80" t="s">
        <v>82</v>
      </c>
      <c r="K27" s="80" t="s">
        <v>85</v>
      </c>
      <c r="L27" s="82" t="s">
        <v>83</v>
      </c>
      <c r="M27" s="82">
        <v>2</v>
      </c>
      <c r="N27" s="82" t="s">
        <v>86</v>
      </c>
      <c r="O27" s="82" t="s">
        <v>30</v>
      </c>
      <c r="P27" s="82">
        <v>4</v>
      </c>
      <c r="R27" s="23" t="s">
        <v>84</v>
      </c>
      <c r="S27" s="80" t="s">
        <v>82</v>
      </c>
      <c r="T27" s="80" t="s">
        <v>219</v>
      </c>
      <c r="U27" s="82" t="s">
        <v>83</v>
      </c>
      <c r="V27" s="85">
        <v>2</v>
      </c>
      <c r="W27" s="82" t="s">
        <v>86</v>
      </c>
      <c r="X27" s="82" t="s">
        <v>30</v>
      </c>
      <c r="Y27" s="83">
        <f>'Työaika ryhmä'!R21</f>
        <v>3</v>
      </c>
    </row>
    <row r="28" spans="1:39" ht="14.25" customHeight="1" x14ac:dyDescent="0.3">
      <c r="A28" s="19" t="s">
        <v>87</v>
      </c>
      <c r="B28" s="22" t="s">
        <v>88</v>
      </c>
      <c r="C28" s="23" t="s">
        <v>89</v>
      </c>
      <c r="D28" s="23">
        <v>1</v>
      </c>
      <c r="E28" s="23">
        <v>2</v>
      </c>
      <c r="F28" s="23">
        <v>6</v>
      </c>
      <c r="G28" s="19" t="s">
        <v>72</v>
      </c>
      <c r="R28" s="14"/>
      <c r="Y28" s="24">
        <f>'Työaika ryhmä'!S21</f>
        <v>19</v>
      </c>
    </row>
    <row r="29" spans="1:39" ht="14.25" customHeight="1" x14ac:dyDescent="0.3">
      <c r="A29" s="19" t="s">
        <v>90</v>
      </c>
      <c r="B29" s="22" t="s">
        <v>91</v>
      </c>
      <c r="C29" s="23" t="s">
        <v>89</v>
      </c>
      <c r="D29" s="23">
        <v>1</v>
      </c>
      <c r="E29" s="23">
        <v>2</v>
      </c>
      <c r="F29" s="23">
        <v>8</v>
      </c>
      <c r="G29" s="19" t="s">
        <v>72</v>
      </c>
      <c r="P29" s="27">
        <f>SUM(P18:P27)</f>
        <v>52</v>
      </c>
    </row>
    <row r="30" spans="1:39" ht="14.25" customHeight="1" x14ac:dyDescent="0.3">
      <c r="A30" s="19" t="s">
        <v>92</v>
      </c>
      <c r="B30" s="22" t="s">
        <v>93</v>
      </c>
      <c r="C30" s="23" t="s">
        <v>89</v>
      </c>
      <c r="D30" s="23">
        <v>1</v>
      </c>
      <c r="E30" s="23">
        <v>2</v>
      </c>
      <c r="F30" s="23">
        <v>8</v>
      </c>
      <c r="G30" s="19" t="s">
        <v>72</v>
      </c>
    </row>
    <row r="31" spans="1:39" ht="14.25" customHeight="1" x14ac:dyDescent="0.3">
      <c r="A31" s="19" t="s">
        <v>94</v>
      </c>
      <c r="B31" s="22" t="s">
        <v>95</v>
      </c>
      <c r="C31" s="23" t="s">
        <v>96</v>
      </c>
      <c r="D31" s="23">
        <v>1</v>
      </c>
      <c r="E31" s="23">
        <v>2</v>
      </c>
      <c r="F31" s="23">
        <v>6</v>
      </c>
      <c r="G31" s="19" t="s">
        <v>72</v>
      </c>
      <c r="I31" s="28"/>
      <c r="J31" s="8"/>
      <c r="K31" s="8"/>
      <c r="L31" s="8"/>
      <c r="M31" s="8"/>
      <c r="N31" s="8"/>
      <c r="O31" s="8"/>
      <c r="P31" s="29"/>
    </row>
    <row r="32" spans="1:39" ht="14.25" customHeight="1" x14ac:dyDescent="0.3">
      <c r="A32" s="19" t="s">
        <v>97</v>
      </c>
      <c r="B32" s="22" t="s">
        <v>98</v>
      </c>
      <c r="C32" s="23" t="s">
        <v>99</v>
      </c>
      <c r="D32" s="23">
        <v>2</v>
      </c>
      <c r="E32" s="23">
        <v>2</v>
      </c>
      <c r="F32" s="23">
        <v>6</v>
      </c>
      <c r="G32" s="19" t="s">
        <v>72</v>
      </c>
    </row>
    <row r="33" spans="1:7" ht="14.25" customHeight="1" x14ac:dyDescent="0.3">
      <c r="A33" s="19" t="s">
        <v>100</v>
      </c>
      <c r="B33" s="22" t="s">
        <v>101</v>
      </c>
      <c r="C33" s="23" t="s">
        <v>102</v>
      </c>
      <c r="D33" s="23">
        <v>2</v>
      </c>
      <c r="E33" s="23">
        <v>2</v>
      </c>
      <c r="F33" s="23">
        <v>6</v>
      </c>
      <c r="G33" s="19" t="s">
        <v>72</v>
      </c>
    </row>
    <row r="34" spans="1:7" ht="14.25" customHeight="1" x14ac:dyDescent="0.3">
      <c r="A34" s="19" t="s">
        <v>103</v>
      </c>
      <c r="B34" s="22" t="s">
        <v>104</v>
      </c>
      <c r="C34" s="23" t="s">
        <v>102</v>
      </c>
      <c r="D34" s="23">
        <v>2</v>
      </c>
      <c r="E34" s="23">
        <v>2</v>
      </c>
      <c r="F34" s="23">
        <v>6</v>
      </c>
      <c r="G34" s="19" t="s">
        <v>72</v>
      </c>
    </row>
    <row r="35" spans="1:7" ht="14.25" customHeight="1" x14ac:dyDescent="0.3">
      <c r="A35" s="19" t="s">
        <v>105</v>
      </c>
      <c r="B35" s="22" t="s">
        <v>106</v>
      </c>
      <c r="C35" s="23" t="s">
        <v>107</v>
      </c>
      <c r="D35" s="23">
        <v>1</v>
      </c>
      <c r="E35" s="23">
        <v>2</v>
      </c>
      <c r="F35" s="23">
        <v>6</v>
      </c>
      <c r="G35" s="19" t="s">
        <v>72</v>
      </c>
    </row>
    <row r="36" spans="1:7" ht="14.25" customHeight="1" x14ac:dyDescent="0.3">
      <c r="A36" s="19" t="s">
        <v>108</v>
      </c>
      <c r="B36" s="22" t="s">
        <v>109</v>
      </c>
      <c r="C36" s="23" t="s">
        <v>110</v>
      </c>
      <c r="D36" s="23">
        <v>2</v>
      </c>
      <c r="E36" s="23">
        <v>2</v>
      </c>
      <c r="F36" s="23">
        <v>4</v>
      </c>
      <c r="G36" s="19" t="s">
        <v>72</v>
      </c>
    </row>
    <row r="37" spans="1:7" ht="14.25" customHeight="1" x14ac:dyDescent="0.3">
      <c r="A37" s="19" t="s">
        <v>111</v>
      </c>
      <c r="B37" s="22" t="s">
        <v>112</v>
      </c>
      <c r="C37" s="23" t="s">
        <v>113</v>
      </c>
      <c r="D37" s="23">
        <v>2</v>
      </c>
      <c r="E37" s="23">
        <v>2</v>
      </c>
      <c r="F37" s="23">
        <v>2</v>
      </c>
      <c r="G37" s="19" t="s">
        <v>72</v>
      </c>
    </row>
    <row r="38" spans="1:7" ht="14.25" customHeight="1" x14ac:dyDescent="0.3">
      <c r="A38" s="19" t="s">
        <v>114</v>
      </c>
      <c r="B38" s="22" t="s">
        <v>115</v>
      </c>
      <c r="C38" s="23" t="s">
        <v>116</v>
      </c>
      <c r="D38" s="23">
        <v>1</v>
      </c>
      <c r="E38" s="23">
        <v>3</v>
      </c>
      <c r="F38" s="23">
        <v>4</v>
      </c>
      <c r="G38" s="19" t="s">
        <v>72</v>
      </c>
    </row>
    <row r="39" spans="1:7" ht="14.25" customHeight="1" x14ac:dyDescent="0.3">
      <c r="A39" s="19" t="s">
        <v>117</v>
      </c>
      <c r="B39" s="22" t="s">
        <v>118</v>
      </c>
      <c r="C39" s="23" t="s">
        <v>107</v>
      </c>
      <c r="D39" s="23">
        <v>1</v>
      </c>
      <c r="E39" s="23">
        <v>3</v>
      </c>
      <c r="F39" s="23">
        <v>6</v>
      </c>
      <c r="G39" s="19" t="s">
        <v>72</v>
      </c>
    </row>
    <row r="40" spans="1:7" ht="14.25" customHeight="1" x14ac:dyDescent="0.3">
      <c r="A40" s="19" t="s">
        <v>119</v>
      </c>
      <c r="B40" s="22" t="s">
        <v>120</v>
      </c>
      <c r="C40" s="23" t="s">
        <v>107</v>
      </c>
      <c r="D40" s="23">
        <v>1</v>
      </c>
      <c r="E40" s="23">
        <v>3</v>
      </c>
      <c r="F40" s="23">
        <v>6</v>
      </c>
      <c r="G40" s="19" t="s">
        <v>72</v>
      </c>
    </row>
    <row r="41" spans="1:7" ht="14.25" customHeight="1" x14ac:dyDescent="0.3">
      <c r="A41" s="19" t="s">
        <v>121</v>
      </c>
      <c r="B41" s="22" t="s">
        <v>122</v>
      </c>
      <c r="C41" s="23" t="s">
        <v>123</v>
      </c>
      <c r="D41" s="23">
        <v>1</v>
      </c>
      <c r="E41" s="23">
        <v>3</v>
      </c>
      <c r="F41" s="23">
        <v>6</v>
      </c>
      <c r="G41" s="19" t="s">
        <v>72</v>
      </c>
    </row>
    <row r="42" spans="1:7" ht="14.25" customHeight="1" x14ac:dyDescent="0.3">
      <c r="A42" s="19" t="s">
        <v>124</v>
      </c>
      <c r="B42" s="22" t="s">
        <v>125</v>
      </c>
      <c r="C42" s="23" t="s">
        <v>126</v>
      </c>
      <c r="D42" s="23">
        <v>1</v>
      </c>
      <c r="E42" s="23">
        <v>3</v>
      </c>
      <c r="F42" s="23">
        <v>6</v>
      </c>
      <c r="G42" s="19" t="s">
        <v>72</v>
      </c>
    </row>
    <row r="43" spans="1:7" ht="14.25" customHeight="1" x14ac:dyDescent="0.3">
      <c r="A43" s="19" t="s">
        <v>127</v>
      </c>
      <c r="B43" s="22" t="s">
        <v>128</v>
      </c>
      <c r="C43" s="23" t="s">
        <v>129</v>
      </c>
      <c r="D43" s="23">
        <v>2</v>
      </c>
      <c r="E43" s="23">
        <v>3</v>
      </c>
      <c r="F43" s="23">
        <v>5</v>
      </c>
      <c r="G43" s="19" t="s">
        <v>72</v>
      </c>
    </row>
    <row r="44" spans="1:7" ht="14.25" customHeight="1" x14ac:dyDescent="0.3">
      <c r="A44" s="19" t="s">
        <v>130</v>
      </c>
      <c r="B44" s="22" t="s">
        <v>131</v>
      </c>
      <c r="C44" s="23" t="s">
        <v>102</v>
      </c>
      <c r="D44" s="23">
        <v>2</v>
      </c>
      <c r="E44" s="23">
        <v>3</v>
      </c>
      <c r="F44" s="23">
        <v>5</v>
      </c>
      <c r="G44" s="19" t="s">
        <v>72</v>
      </c>
    </row>
    <row r="45" spans="1:7" ht="14.25" customHeight="1" x14ac:dyDescent="0.3">
      <c r="A45" s="19" t="s">
        <v>132</v>
      </c>
      <c r="B45" s="22" t="s">
        <v>133</v>
      </c>
      <c r="C45" s="23" t="s">
        <v>71</v>
      </c>
      <c r="D45" s="23">
        <v>1</v>
      </c>
      <c r="E45" s="23">
        <v>3</v>
      </c>
      <c r="F45" s="23">
        <v>6</v>
      </c>
      <c r="G45" s="19" t="s">
        <v>72</v>
      </c>
    </row>
    <row r="46" spans="1:7" ht="14.25" customHeight="1" x14ac:dyDescent="0.3">
      <c r="A46" s="19" t="s">
        <v>134</v>
      </c>
      <c r="B46" s="22" t="s">
        <v>135</v>
      </c>
      <c r="C46" s="23" t="s">
        <v>83</v>
      </c>
      <c r="D46" s="23">
        <v>2</v>
      </c>
      <c r="E46" s="23">
        <v>3</v>
      </c>
      <c r="F46" s="23">
        <v>4</v>
      </c>
      <c r="G46" s="19" t="s">
        <v>72</v>
      </c>
    </row>
    <row r="47" spans="1:7" ht="14.25" customHeight="1" x14ac:dyDescent="0.3">
      <c r="A47" s="19" t="s">
        <v>136</v>
      </c>
      <c r="B47" s="22" t="s">
        <v>137</v>
      </c>
      <c r="C47" s="23" t="s">
        <v>138</v>
      </c>
      <c r="D47" s="23">
        <v>1</v>
      </c>
      <c r="E47" s="23">
        <v>3</v>
      </c>
      <c r="F47" s="23">
        <v>4</v>
      </c>
      <c r="G47" s="19" t="s">
        <v>72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1000"/>
  <sheetViews>
    <sheetView zoomScale="65" zoomScaleNormal="65" workbookViewId="0">
      <selection activeCell="B28" sqref="B28:B37"/>
    </sheetView>
  </sheetViews>
  <sheetFormatPr defaultColWidth="14.44140625" defaultRowHeight="15" customHeight="1" x14ac:dyDescent="0.3"/>
  <cols>
    <col min="1" max="1" width="5.6640625" customWidth="1"/>
    <col min="2" max="2" width="57.88671875" customWidth="1"/>
    <col min="3" max="3" width="27.5546875" customWidth="1"/>
    <col min="4" max="5" width="10.6640625" customWidth="1"/>
    <col min="6" max="6" width="18.33203125" customWidth="1"/>
    <col min="7" max="7" width="10.6640625" customWidth="1"/>
    <col min="8" max="8" width="8.6640625" customWidth="1"/>
    <col min="9" max="9" width="6.44140625" customWidth="1"/>
    <col min="10" max="10" width="51.5546875" customWidth="1"/>
    <col min="11" max="11" width="66" customWidth="1"/>
    <col min="12" max="12" width="24.77734375" customWidth="1"/>
    <col min="13" max="13" width="10.6640625" customWidth="1"/>
    <col min="14" max="14" width="14.88671875" customWidth="1"/>
    <col min="15" max="15" width="16.5546875" customWidth="1"/>
    <col min="16" max="16" width="20.6640625" customWidth="1"/>
    <col min="17" max="17" width="8.6640625" customWidth="1"/>
    <col min="18" max="18" width="5.6640625" customWidth="1"/>
    <col min="19" max="20" width="40.6640625" customWidth="1"/>
    <col min="21" max="24" width="10.6640625" customWidth="1"/>
    <col min="25" max="25" width="19.3320312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4.25" customHeight="1" x14ac:dyDescent="0.3">
      <c r="A2" s="1"/>
    </row>
    <row r="3" spans="1:38" ht="14.25" customHeight="1" x14ac:dyDescent="0.4">
      <c r="A3" s="30" t="s">
        <v>139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2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1</v>
      </c>
      <c r="D5" s="10"/>
      <c r="I5" s="11" t="s">
        <v>2</v>
      </c>
      <c r="J5" s="8"/>
      <c r="K5" s="8"/>
      <c r="L5" s="8"/>
      <c r="M5" s="12"/>
      <c r="N5" s="8"/>
      <c r="O5" s="8"/>
      <c r="P5" s="8"/>
      <c r="R5" s="11" t="s">
        <v>3</v>
      </c>
      <c r="V5" s="10"/>
      <c r="AA5" s="11" t="s">
        <v>4</v>
      </c>
      <c r="AE5" s="10"/>
    </row>
    <row r="6" spans="1:38" ht="14.25" customHeight="1" x14ac:dyDescent="0.3">
      <c r="A6" s="13" t="s">
        <v>140</v>
      </c>
      <c r="I6" s="13" t="s">
        <v>141</v>
      </c>
      <c r="J6" s="8"/>
      <c r="K6" s="8"/>
      <c r="L6" s="8"/>
      <c r="M6" s="8"/>
      <c r="N6" s="8"/>
      <c r="O6" s="8"/>
      <c r="P6" s="8"/>
      <c r="R6" s="13" t="s">
        <v>7</v>
      </c>
      <c r="AA6" s="13" t="s">
        <v>7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33" t="s">
        <v>8</v>
      </c>
      <c r="B17" s="33" t="s">
        <v>9</v>
      </c>
      <c r="C17" s="33" t="s">
        <v>10</v>
      </c>
      <c r="D17" s="33" t="s">
        <v>11</v>
      </c>
      <c r="E17" s="33" t="s">
        <v>12</v>
      </c>
      <c r="F17" s="33" t="s">
        <v>13</v>
      </c>
      <c r="G17" s="33" t="s">
        <v>14</v>
      </c>
      <c r="H17" s="16"/>
      <c r="I17" s="34" t="s">
        <v>8</v>
      </c>
      <c r="J17" s="33" t="s">
        <v>15</v>
      </c>
      <c r="K17" s="33" t="s">
        <v>16</v>
      </c>
      <c r="L17" s="33" t="s">
        <v>10</v>
      </c>
      <c r="M17" s="33" t="s">
        <v>11</v>
      </c>
      <c r="N17" s="33" t="s">
        <v>17</v>
      </c>
      <c r="O17" s="33" t="s">
        <v>18</v>
      </c>
      <c r="P17" s="33" t="s">
        <v>13</v>
      </c>
      <c r="Q17" s="18"/>
      <c r="R17" s="34" t="s">
        <v>8</v>
      </c>
      <c r="S17" s="35" t="s">
        <v>19</v>
      </c>
      <c r="T17" s="35" t="s">
        <v>20</v>
      </c>
      <c r="U17" s="35" t="s">
        <v>10</v>
      </c>
      <c r="V17" s="35" t="s">
        <v>11</v>
      </c>
      <c r="W17" s="35" t="s">
        <v>17</v>
      </c>
      <c r="X17" s="35" t="s">
        <v>18</v>
      </c>
      <c r="Y17" s="35" t="s">
        <v>21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19" t="s">
        <v>22</v>
      </c>
      <c r="B18" s="22" t="s">
        <v>23</v>
      </c>
      <c r="C18" s="22" t="s">
        <v>24</v>
      </c>
      <c r="D18" s="23">
        <v>1</v>
      </c>
      <c r="E18" s="23">
        <v>1</v>
      </c>
      <c r="F18" s="23">
        <v>4</v>
      </c>
      <c r="G18" s="23" t="s">
        <v>25</v>
      </c>
      <c r="H18" s="21"/>
      <c r="I18" s="19" t="s">
        <v>142</v>
      </c>
      <c r="J18" s="22" t="s">
        <v>88</v>
      </c>
      <c r="K18" s="22" t="s">
        <v>143</v>
      </c>
      <c r="L18" s="22" t="s">
        <v>89</v>
      </c>
      <c r="M18" s="23">
        <v>1</v>
      </c>
      <c r="N18" s="23" t="s">
        <v>61</v>
      </c>
      <c r="O18" s="23" t="s">
        <v>30</v>
      </c>
      <c r="P18" s="23">
        <v>6</v>
      </c>
      <c r="R18" s="23" t="s">
        <v>142</v>
      </c>
      <c r="S18" s="22"/>
      <c r="T18" s="22"/>
      <c r="U18" s="20"/>
      <c r="V18" s="23"/>
      <c r="W18" s="23"/>
      <c r="X18" s="23"/>
      <c r="Y18" s="36">
        <f>'Työaika ryhmä'!I40</f>
        <v>0</v>
      </c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</row>
    <row r="19" spans="1:39" ht="14.25" customHeight="1" x14ac:dyDescent="0.3">
      <c r="A19" s="19" t="s">
        <v>31</v>
      </c>
      <c r="B19" s="22" t="s">
        <v>32</v>
      </c>
      <c r="C19" s="22" t="s">
        <v>24</v>
      </c>
      <c r="D19" s="23">
        <v>1</v>
      </c>
      <c r="E19" s="23">
        <v>1</v>
      </c>
      <c r="F19" s="23">
        <v>6</v>
      </c>
      <c r="G19" s="23" t="s">
        <v>25</v>
      </c>
      <c r="H19" s="21"/>
      <c r="I19" s="19" t="s">
        <v>144</v>
      </c>
      <c r="J19" s="22" t="s">
        <v>91</v>
      </c>
      <c r="K19" s="22" t="s">
        <v>145</v>
      </c>
      <c r="L19" s="22" t="s">
        <v>89</v>
      </c>
      <c r="M19" s="23">
        <v>1</v>
      </c>
      <c r="N19" s="23" t="s">
        <v>61</v>
      </c>
      <c r="O19" s="23" t="s">
        <v>146</v>
      </c>
      <c r="P19" s="23">
        <v>8</v>
      </c>
      <c r="R19" s="23" t="s">
        <v>144</v>
      </c>
      <c r="S19" s="22"/>
      <c r="T19" s="22"/>
      <c r="U19" s="20"/>
      <c r="V19" s="23"/>
      <c r="W19" s="23"/>
      <c r="X19" s="23"/>
      <c r="Y19" s="36">
        <f>'Työaika ryhmä'!J40</f>
        <v>0</v>
      </c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</row>
    <row r="20" spans="1:39" ht="14.25" customHeight="1" x14ac:dyDescent="0.3">
      <c r="A20" s="19" t="s">
        <v>38</v>
      </c>
      <c r="B20" s="22" t="s">
        <v>39</v>
      </c>
      <c r="C20" s="22" t="s">
        <v>40</v>
      </c>
      <c r="D20" s="23">
        <v>1</v>
      </c>
      <c r="E20" s="23">
        <v>1</v>
      </c>
      <c r="F20" s="23">
        <v>4</v>
      </c>
      <c r="G20" s="23" t="s">
        <v>25</v>
      </c>
      <c r="H20" s="21"/>
      <c r="I20" s="19" t="s">
        <v>147</v>
      </c>
      <c r="J20" s="22" t="s">
        <v>93</v>
      </c>
      <c r="K20" s="22" t="s">
        <v>148</v>
      </c>
      <c r="L20" s="22" t="s">
        <v>89</v>
      </c>
      <c r="M20" s="23">
        <v>1</v>
      </c>
      <c r="N20" s="23" t="s">
        <v>146</v>
      </c>
      <c r="O20" s="23" t="s">
        <v>61</v>
      </c>
      <c r="P20" s="23">
        <v>8</v>
      </c>
      <c r="R20" s="23" t="s">
        <v>147</v>
      </c>
      <c r="S20" s="22"/>
      <c r="T20" s="22"/>
      <c r="U20" s="20"/>
      <c r="V20" s="23"/>
      <c r="W20" s="23"/>
      <c r="X20" s="23"/>
      <c r="Y20" s="36">
        <f>'Työaika ryhmä'!K40</f>
        <v>0</v>
      </c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</row>
    <row r="21" spans="1:39" ht="14.25" customHeight="1" x14ac:dyDescent="0.3">
      <c r="A21" s="19" t="s">
        <v>44</v>
      </c>
      <c r="B21" s="22" t="s">
        <v>45</v>
      </c>
      <c r="C21" s="22" t="s">
        <v>40</v>
      </c>
      <c r="D21" s="23">
        <v>1</v>
      </c>
      <c r="E21" s="23">
        <v>1</v>
      </c>
      <c r="F21" s="23">
        <v>10</v>
      </c>
      <c r="G21" s="23" t="s">
        <v>25</v>
      </c>
      <c r="H21" s="21"/>
      <c r="I21" s="19" t="s">
        <v>149</v>
      </c>
      <c r="J21" s="22" t="s">
        <v>95</v>
      </c>
      <c r="K21" s="22" t="s">
        <v>150</v>
      </c>
      <c r="L21" s="22" t="s">
        <v>96</v>
      </c>
      <c r="M21" s="23">
        <v>1</v>
      </c>
      <c r="N21" s="23" t="s">
        <v>151</v>
      </c>
      <c r="O21" s="23" t="s">
        <v>61</v>
      </c>
      <c r="P21" s="23">
        <v>6</v>
      </c>
      <c r="R21" s="23" t="s">
        <v>149</v>
      </c>
      <c r="S21" s="22"/>
      <c r="T21" s="22"/>
      <c r="U21" s="20"/>
      <c r="V21" s="23"/>
      <c r="W21" s="23"/>
      <c r="X21" s="23"/>
      <c r="Y21" s="36">
        <f>'Työaika ryhmä'!L40</f>
        <v>0</v>
      </c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39" ht="14.25" customHeight="1" x14ac:dyDescent="0.3">
      <c r="A22" s="19" t="s">
        <v>50</v>
      </c>
      <c r="B22" s="22" t="s">
        <v>51</v>
      </c>
      <c r="C22" s="22" t="s">
        <v>52</v>
      </c>
      <c r="D22" s="23">
        <v>1</v>
      </c>
      <c r="E22" s="23">
        <v>1</v>
      </c>
      <c r="F22" s="23">
        <v>6</v>
      </c>
      <c r="G22" s="23" t="s">
        <v>25</v>
      </c>
      <c r="H22" s="21"/>
      <c r="I22" s="19" t="s">
        <v>152</v>
      </c>
      <c r="J22" s="22" t="s">
        <v>98</v>
      </c>
      <c r="K22" s="22" t="s">
        <v>153</v>
      </c>
      <c r="L22" s="22" t="s">
        <v>99</v>
      </c>
      <c r="M22" s="23">
        <v>2</v>
      </c>
      <c r="N22" s="23" t="s">
        <v>151</v>
      </c>
      <c r="O22" s="23" t="s">
        <v>75</v>
      </c>
      <c r="P22" s="23">
        <v>6</v>
      </c>
      <c r="R22" s="23" t="s">
        <v>152</v>
      </c>
      <c r="S22" s="22"/>
      <c r="T22" s="22"/>
      <c r="U22" s="20"/>
      <c r="V22" s="23"/>
      <c r="W22" s="23"/>
      <c r="X22" s="23"/>
      <c r="Y22" s="36">
        <f>'Työaika ryhmä'!M40</f>
        <v>0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</row>
    <row r="23" spans="1:39" ht="14.25" customHeight="1" x14ac:dyDescent="0.3">
      <c r="A23" s="19" t="s">
        <v>56</v>
      </c>
      <c r="B23" s="22" t="s">
        <v>57</v>
      </c>
      <c r="C23" s="22" t="s">
        <v>58</v>
      </c>
      <c r="D23" s="23">
        <v>1</v>
      </c>
      <c r="E23" s="23">
        <v>1</v>
      </c>
      <c r="F23" s="23">
        <v>6</v>
      </c>
      <c r="G23" s="23" t="s">
        <v>25</v>
      </c>
      <c r="H23" s="21"/>
      <c r="I23" s="19" t="s">
        <v>154</v>
      </c>
      <c r="J23" s="22" t="s">
        <v>101</v>
      </c>
      <c r="K23" s="22" t="s">
        <v>155</v>
      </c>
      <c r="L23" s="22" t="s">
        <v>102</v>
      </c>
      <c r="M23" s="23">
        <v>2</v>
      </c>
      <c r="N23" s="23" t="s">
        <v>156</v>
      </c>
      <c r="O23" s="23" t="s">
        <v>30</v>
      </c>
      <c r="P23" s="23">
        <v>6</v>
      </c>
      <c r="R23" s="23" t="s">
        <v>154</v>
      </c>
      <c r="S23" s="22"/>
      <c r="T23" s="22"/>
      <c r="U23" s="20"/>
      <c r="V23" s="23"/>
      <c r="W23" s="23"/>
      <c r="X23" s="23"/>
      <c r="Y23" s="36">
        <f>'Työaika ryhmä'!N40</f>
        <v>0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</row>
    <row r="24" spans="1:39" ht="14.25" customHeight="1" x14ac:dyDescent="0.3">
      <c r="A24" s="19" t="s">
        <v>63</v>
      </c>
      <c r="B24" s="26" t="s">
        <v>64</v>
      </c>
      <c r="C24" s="26" t="s">
        <v>58</v>
      </c>
      <c r="D24" s="23">
        <v>2</v>
      </c>
      <c r="E24" s="23">
        <v>1</v>
      </c>
      <c r="F24" s="23">
        <v>6</v>
      </c>
      <c r="G24" s="23" t="s">
        <v>25</v>
      </c>
      <c r="I24" s="19" t="s">
        <v>157</v>
      </c>
      <c r="J24" s="22" t="s">
        <v>104</v>
      </c>
      <c r="K24" s="22" t="s">
        <v>158</v>
      </c>
      <c r="L24" s="26" t="s">
        <v>102</v>
      </c>
      <c r="M24" s="23">
        <v>2</v>
      </c>
      <c r="N24" s="23" t="s">
        <v>156</v>
      </c>
      <c r="O24" s="23" t="s">
        <v>61</v>
      </c>
      <c r="P24" s="23">
        <v>6</v>
      </c>
      <c r="R24" s="23" t="s">
        <v>157</v>
      </c>
      <c r="S24" s="22"/>
      <c r="T24" s="22"/>
      <c r="U24" s="26"/>
      <c r="V24" s="23"/>
      <c r="W24" s="23"/>
      <c r="X24" s="23"/>
      <c r="Y24" s="36">
        <f>'Työaika ryhmä'!O40</f>
        <v>0</v>
      </c>
    </row>
    <row r="25" spans="1:39" ht="14.25" customHeight="1" x14ac:dyDescent="0.3">
      <c r="A25" s="19" t="s">
        <v>69</v>
      </c>
      <c r="B25" s="26" t="s">
        <v>70</v>
      </c>
      <c r="C25" s="26" t="s">
        <v>71</v>
      </c>
      <c r="D25" s="23">
        <v>2</v>
      </c>
      <c r="E25" s="23">
        <v>1</v>
      </c>
      <c r="F25" s="23">
        <v>4</v>
      </c>
      <c r="G25" s="23" t="s">
        <v>72</v>
      </c>
      <c r="I25" s="19" t="s">
        <v>159</v>
      </c>
      <c r="J25" s="22" t="s">
        <v>106</v>
      </c>
      <c r="K25" s="22" t="s">
        <v>160</v>
      </c>
      <c r="L25" s="26" t="s">
        <v>107</v>
      </c>
      <c r="M25" s="23">
        <v>1</v>
      </c>
      <c r="N25" s="23" t="s">
        <v>75</v>
      </c>
      <c r="O25" s="23" t="s">
        <v>61</v>
      </c>
      <c r="P25" s="23">
        <v>6</v>
      </c>
      <c r="R25" s="23" t="s">
        <v>159</v>
      </c>
      <c r="S25" s="22"/>
      <c r="T25" s="22"/>
      <c r="U25" s="26"/>
      <c r="V25" s="23"/>
      <c r="W25" s="23"/>
      <c r="X25" s="23"/>
      <c r="Y25" s="36">
        <f>'Työaika ryhmä'!P40</f>
        <v>0</v>
      </c>
    </row>
    <row r="26" spans="1:39" ht="14.25" customHeight="1" x14ac:dyDescent="0.3">
      <c r="A26" s="19" t="s">
        <v>76</v>
      </c>
      <c r="B26" s="26" t="s">
        <v>77</v>
      </c>
      <c r="C26" s="26" t="s">
        <v>78</v>
      </c>
      <c r="D26" s="23">
        <v>1</v>
      </c>
      <c r="E26" s="23">
        <v>1</v>
      </c>
      <c r="F26" s="23">
        <v>2</v>
      </c>
      <c r="G26" s="23" t="s">
        <v>25</v>
      </c>
      <c r="I26" s="19" t="s">
        <v>161</v>
      </c>
      <c r="J26" s="22" t="s">
        <v>109</v>
      </c>
      <c r="K26" s="22" t="s">
        <v>162</v>
      </c>
      <c r="L26" s="26" t="s">
        <v>110</v>
      </c>
      <c r="M26" s="23">
        <v>2</v>
      </c>
      <c r="N26" s="23" t="s">
        <v>29</v>
      </c>
      <c r="O26" s="23" t="s">
        <v>30</v>
      </c>
      <c r="P26" s="23">
        <v>4</v>
      </c>
      <c r="R26" s="23" t="s">
        <v>161</v>
      </c>
      <c r="S26" s="22"/>
      <c r="T26" s="22"/>
      <c r="U26" s="26"/>
      <c r="V26" s="23"/>
      <c r="W26" s="23"/>
      <c r="X26" s="23"/>
      <c r="Y26" s="36">
        <f>'Työaika ryhmä'!Q40</f>
        <v>0</v>
      </c>
    </row>
    <row r="27" spans="1:39" ht="14.25" customHeight="1" x14ac:dyDescent="0.3">
      <c r="A27" s="19" t="s">
        <v>81</v>
      </c>
      <c r="B27" s="26" t="s">
        <v>82</v>
      </c>
      <c r="C27" s="26" t="s">
        <v>83</v>
      </c>
      <c r="D27" s="23">
        <v>2</v>
      </c>
      <c r="E27" s="23">
        <v>1</v>
      </c>
      <c r="F27" s="23">
        <v>4</v>
      </c>
      <c r="G27" s="23" t="s">
        <v>72</v>
      </c>
      <c r="I27" s="19" t="s">
        <v>163</v>
      </c>
      <c r="J27" s="22" t="s">
        <v>112</v>
      </c>
      <c r="K27" s="22" t="s">
        <v>164</v>
      </c>
      <c r="L27" s="26" t="s">
        <v>113</v>
      </c>
      <c r="M27" s="23">
        <v>2</v>
      </c>
      <c r="N27" s="23" t="s">
        <v>29</v>
      </c>
      <c r="O27" s="23" t="s">
        <v>30</v>
      </c>
      <c r="P27" s="23">
        <v>2</v>
      </c>
      <c r="R27" s="23" t="s">
        <v>163</v>
      </c>
      <c r="S27" s="22"/>
      <c r="T27" s="22"/>
      <c r="U27" s="26"/>
      <c r="V27" s="23"/>
      <c r="W27" s="23"/>
      <c r="X27" s="23"/>
      <c r="Y27" s="36">
        <f>'Työaika ryhmä'!R40</f>
        <v>0</v>
      </c>
    </row>
    <row r="28" spans="1:39" ht="14.25" customHeight="1" x14ac:dyDescent="0.3">
      <c r="A28" s="19" t="s">
        <v>87</v>
      </c>
      <c r="B28" s="20" t="s">
        <v>88</v>
      </c>
      <c r="C28" s="20" t="s">
        <v>89</v>
      </c>
      <c r="D28" s="19">
        <v>1</v>
      </c>
      <c r="E28" s="19">
        <v>2</v>
      </c>
      <c r="F28" s="19">
        <v>6</v>
      </c>
      <c r="G28" s="19" t="s">
        <v>72</v>
      </c>
      <c r="I28" s="28"/>
      <c r="J28" s="37"/>
      <c r="K28" s="37"/>
      <c r="L28" s="37"/>
      <c r="M28" s="37"/>
      <c r="N28" s="37"/>
      <c r="O28" s="37"/>
      <c r="P28" s="21">
        <f>SUM(P18:P27)</f>
        <v>58</v>
      </c>
      <c r="R28" s="14"/>
      <c r="Y28" s="36">
        <f>'Työaika ryhmä'!S40</f>
        <v>0</v>
      </c>
    </row>
    <row r="29" spans="1:39" ht="14.25" customHeight="1" x14ac:dyDescent="0.3">
      <c r="A29" s="19" t="s">
        <v>90</v>
      </c>
      <c r="B29" s="20" t="s">
        <v>91</v>
      </c>
      <c r="C29" s="20" t="s">
        <v>89</v>
      </c>
      <c r="D29" s="19">
        <v>1</v>
      </c>
      <c r="E29" s="19">
        <v>2</v>
      </c>
      <c r="F29" s="19">
        <v>8</v>
      </c>
      <c r="G29" s="19" t="s">
        <v>72</v>
      </c>
    </row>
    <row r="30" spans="1:39" ht="14.25" customHeight="1" x14ac:dyDescent="0.3">
      <c r="A30" s="19" t="s">
        <v>92</v>
      </c>
      <c r="B30" s="20" t="s">
        <v>93</v>
      </c>
      <c r="C30" s="20" t="s">
        <v>89</v>
      </c>
      <c r="D30" s="19">
        <v>1</v>
      </c>
      <c r="E30" s="19">
        <v>2</v>
      </c>
      <c r="F30" s="19">
        <v>8</v>
      </c>
      <c r="G30" s="19" t="s">
        <v>72</v>
      </c>
    </row>
    <row r="31" spans="1:39" ht="14.25" customHeight="1" x14ac:dyDescent="0.3">
      <c r="A31" s="19" t="s">
        <v>94</v>
      </c>
      <c r="B31" s="20" t="s">
        <v>95</v>
      </c>
      <c r="C31" s="20" t="s">
        <v>96</v>
      </c>
      <c r="D31" s="19">
        <v>1</v>
      </c>
      <c r="E31" s="19">
        <v>2</v>
      </c>
      <c r="F31" s="19">
        <v>6</v>
      </c>
      <c r="G31" s="19" t="s">
        <v>72</v>
      </c>
    </row>
    <row r="32" spans="1:39" ht="14.25" customHeight="1" x14ac:dyDescent="0.3">
      <c r="A32" s="19" t="s">
        <v>97</v>
      </c>
      <c r="B32" s="20" t="s">
        <v>98</v>
      </c>
      <c r="C32" s="20" t="s">
        <v>99</v>
      </c>
      <c r="D32" s="19">
        <v>2</v>
      </c>
      <c r="E32" s="19">
        <v>2</v>
      </c>
      <c r="F32" s="19">
        <v>6</v>
      </c>
      <c r="G32" s="19" t="s">
        <v>72</v>
      </c>
    </row>
    <row r="33" spans="1:7" ht="14.25" customHeight="1" x14ac:dyDescent="0.3">
      <c r="A33" s="19" t="s">
        <v>100</v>
      </c>
      <c r="B33" s="20" t="s">
        <v>101</v>
      </c>
      <c r="C33" s="20" t="s">
        <v>102</v>
      </c>
      <c r="D33" s="19">
        <v>2</v>
      </c>
      <c r="E33" s="19">
        <v>2</v>
      </c>
      <c r="F33" s="19">
        <v>6</v>
      </c>
      <c r="G33" s="19" t="s">
        <v>72</v>
      </c>
    </row>
    <row r="34" spans="1:7" ht="14.25" customHeight="1" x14ac:dyDescent="0.3">
      <c r="A34" s="19" t="s">
        <v>103</v>
      </c>
      <c r="B34" s="20" t="s">
        <v>104</v>
      </c>
      <c r="C34" s="25" t="s">
        <v>102</v>
      </c>
      <c r="D34" s="19">
        <v>2</v>
      </c>
      <c r="E34" s="19">
        <v>2</v>
      </c>
      <c r="F34" s="19">
        <v>6</v>
      </c>
      <c r="G34" s="19" t="s">
        <v>72</v>
      </c>
    </row>
    <row r="35" spans="1:7" ht="14.25" customHeight="1" x14ac:dyDescent="0.3">
      <c r="A35" s="19" t="s">
        <v>105</v>
      </c>
      <c r="B35" s="20" t="s">
        <v>106</v>
      </c>
      <c r="C35" s="25" t="s">
        <v>107</v>
      </c>
      <c r="D35" s="19">
        <v>1</v>
      </c>
      <c r="E35" s="19">
        <v>2</v>
      </c>
      <c r="F35" s="19">
        <v>6</v>
      </c>
      <c r="G35" s="19" t="s">
        <v>72</v>
      </c>
    </row>
    <row r="36" spans="1:7" ht="14.25" customHeight="1" x14ac:dyDescent="0.3">
      <c r="A36" s="19" t="s">
        <v>108</v>
      </c>
      <c r="B36" s="20" t="s">
        <v>109</v>
      </c>
      <c r="C36" s="25" t="s">
        <v>110</v>
      </c>
      <c r="D36" s="19">
        <v>2</v>
      </c>
      <c r="E36" s="19">
        <v>2</v>
      </c>
      <c r="F36" s="19">
        <v>4</v>
      </c>
      <c r="G36" s="19" t="s">
        <v>72</v>
      </c>
    </row>
    <row r="37" spans="1:7" ht="14.25" customHeight="1" x14ac:dyDescent="0.3">
      <c r="A37" s="19" t="s">
        <v>111</v>
      </c>
      <c r="B37" s="20" t="s">
        <v>112</v>
      </c>
      <c r="C37" s="25" t="s">
        <v>113</v>
      </c>
      <c r="D37" s="19">
        <v>2</v>
      </c>
      <c r="E37" s="19">
        <v>2</v>
      </c>
      <c r="F37" s="19">
        <v>2</v>
      </c>
      <c r="G37" s="19" t="s">
        <v>72</v>
      </c>
    </row>
    <row r="38" spans="1:7" ht="14.25" customHeight="1" x14ac:dyDescent="0.3">
      <c r="A38" s="19" t="s">
        <v>114</v>
      </c>
      <c r="B38" s="22" t="s">
        <v>115</v>
      </c>
      <c r="C38" s="22" t="s">
        <v>116</v>
      </c>
      <c r="D38" s="23">
        <v>1</v>
      </c>
      <c r="E38" s="23">
        <v>3</v>
      </c>
      <c r="F38" s="23">
        <v>4</v>
      </c>
      <c r="G38" s="23" t="s">
        <v>72</v>
      </c>
    </row>
    <row r="39" spans="1:7" ht="14.25" customHeight="1" x14ac:dyDescent="0.3">
      <c r="A39" s="19" t="s">
        <v>117</v>
      </c>
      <c r="B39" s="22" t="s">
        <v>118</v>
      </c>
      <c r="C39" s="22" t="s">
        <v>107</v>
      </c>
      <c r="D39" s="23">
        <v>1</v>
      </c>
      <c r="E39" s="23">
        <v>3</v>
      </c>
      <c r="F39" s="23">
        <v>6</v>
      </c>
      <c r="G39" s="23" t="s">
        <v>72</v>
      </c>
    </row>
    <row r="40" spans="1:7" ht="14.25" customHeight="1" x14ac:dyDescent="0.3">
      <c r="A40" s="19" t="s">
        <v>119</v>
      </c>
      <c r="B40" s="22" t="s">
        <v>120</v>
      </c>
      <c r="C40" s="22" t="s">
        <v>107</v>
      </c>
      <c r="D40" s="23">
        <v>1</v>
      </c>
      <c r="E40" s="23">
        <v>3</v>
      </c>
      <c r="F40" s="23">
        <v>6</v>
      </c>
      <c r="G40" s="23" t="s">
        <v>72</v>
      </c>
    </row>
    <row r="41" spans="1:7" ht="14.25" customHeight="1" x14ac:dyDescent="0.3">
      <c r="A41" s="19" t="s">
        <v>121</v>
      </c>
      <c r="B41" s="22" t="s">
        <v>122</v>
      </c>
      <c r="C41" s="22" t="s">
        <v>123</v>
      </c>
      <c r="D41" s="23">
        <v>1</v>
      </c>
      <c r="E41" s="23">
        <v>3</v>
      </c>
      <c r="F41" s="23">
        <v>6</v>
      </c>
      <c r="G41" s="23" t="s">
        <v>72</v>
      </c>
    </row>
    <row r="42" spans="1:7" ht="14.25" customHeight="1" x14ac:dyDescent="0.3">
      <c r="A42" s="19" t="s">
        <v>124</v>
      </c>
      <c r="B42" s="22" t="s">
        <v>125</v>
      </c>
      <c r="C42" s="22" t="s">
        <v>126</v>
      </c>
      <c r="D42" s="23">
        <v>1</v>
      </c>
      <c r="E42" s="23">
        <v>3</v>
      </c>
      <c r="F42" s="23">
        <v>6</v>
      </c>
      <c r="G42" s="23" t="s">
        <v>72</v>
      </c>
    </row>
    <row r="43" spans="1:7" ht="14.25" customHeight="1" x14ac:dyDescent="0.3">
      <c r="A43" s="19" t="s">
        <v>127</v>
      </c>
      <c r="B43" s="22" t="s">
        <v>128</v>
      </c>
      <c r="C43" s="22" t="s">
        <v>129</v>
      </c>
      <c r="D43" s="23">
        <v>2</v>
      </c>
      <c r="E43" s="23">
        <v>3</v>
      </c>
      <c r="F43" s="23">
        <v>5</v>
      </c>
      <c r="G43" s="23" t="s">
        <v>72</v>
      </c>
    </row>
    <row r="44" spans="1:7" ht="14.25" customHeight="1" x14ac:dyDescent="0.3">
      <c r="A44" s="19" t="s">
        <v>130</v>
      </c>
      <c r="B44" s="22" t="s">
        <v>131</v>
      </c>
      <c r="C44" s="26" t="s">
        <v>102</v>
      </c>
      <c r="D44" s="23">
        <v>2</v>
      </c>
      <c r="E44" s="23">
        <v>3</v>
      </c>
      <c r="F44" s="23">
        <v>5</v>
      </c>
      <c r="G44" s="23" t="s">
        <v>72</v>
      </c>
    </row>
    <row r="45" spans="1:7" ht="14.25" customHeight="1" x14ac:dyDescent="0.3">
      <c r="A45" s="19" t="s">
        <v>132</v>
      </c>
      <c r="B45" s="22" t="s">
        <v>133</v>
      </c>
      <c r="C45" s="26" t="s">
        <v>71</v>
      </c>
      <c r="D45" s="23">
        <v>1</v>
      </c>
      <c r="E45" s="23">
        <v>3</v>
      </c>
      <c r="F45" s="23">
        <v>6</v>
      </c>
      <c r="G45" s="23" t="s">
        <v>72</v>
      </c>
    </row>
    <row r="46" spans="1:7" ht="14.25" customHeight="1" x14ac:dyDescent="0.3">
      <c r="A46" s="19" t="s">
        <v>134</v>
      </c>
      <c r="B46" s="22" t="s">
        <v>135</v>
      </c>
      <c r="C46" s="26" t="s">
        <v>83</v>
      </c>
      <c r="D46" s="23">
        <v>2</v>
      </c>
      <c r="E46" s="23">
        <v>3</v>
      </c>
      <c r="F46" s="23">
        <v>4</v>
      </c>
      <c r="G46" s="23" t="s">
        <v>72</v>
      </c>
    </row>
    <row r="47" spans="1:7" ht="14.25" customHeight="1" x14ac:dyDescent="0.3">
      <c r="A47" s="19" t="s">
        <v>136</v>
      </c>
      <c r="B47" s="22" t="s">
        <v>137</v>
      </c>
      <c r="C47" s="26" t="s">
        <v>138</v>
      </c>
      <c r="D47" s="23">
        <v>1</v>
      </c>
      <c r="E47" s="23">
        <v>3</v>
      </c>
      <c r="F47" s="23">
        <v>4</v>
      </c>
      <c r="G47" s="23" t="s">
        <v>72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1000"/>
  <sheetViews>
    <sheetView topLeftCell="B9" zoomScale="68" workbookViewId="0">
      <selection activeCell="B47" sqref="B38:B47"/>
    </sheetView>
  </sheetViews>
  <sheetFormatPr defaultColWidth="14.44140625" defaultRowHeight="15" customHeight="1" x14ac:dyDescent="0.3"/>
  <cols>
    <col min="1" max="1" width="5.6640625" customWidth="1"/>
    <col min="2" max="2" width="53.5546875" customWidth="1"/>
    <col min="3" max="3" width="28.6640625" customWidth="1"/>
    <col min="4" max="5" width="10.6640625" customWidth="1"/>
    <col min="6" max="6" width="17.33203125" customWidth="1"/>
    <col min="7" max="7" width="10.6640625" customWidth="1"/>
    <col min="8" max="8" width="8.6640625" customWidth="1"/>
    <col min="9" max="9" width="5.6640625" customWidth="1"/>
    <col min="10" max="10" width="43.88671875" customWidth="1"/>
    <col min="11" max="11" width="69.77734375" customWidth="1"/>
    <col min="12" max="12" width="26" customWidth="1"/>
    <col min="13" max="13" width="10.6640625" customWidth="1"/>
    <col min="14" max="14" width="15.77734375" customWidth="1"/>
    <col min="15" max="15" width="14.6640625" customWidth="1"/>
    <col min="16" max="16" width="20.6640625" customWidth="1"/>
    <col min="17" max="17" width="8.6640625" customWidth="1"/>
    <col min="18" max="18" width="5.6640625" customWidth="1"/>
    <col min="19" max="20" width="40.6640625" customWidth="1"/>
    <col min="21" max="24" width="10.6640625" customWidth="1"/>
    <col min="25" max="25" width="19.33203125" customWidth="1"/>
    <col min="26" max="39" width="8.6640625" customWidth="1"/>
  </cols>
  <sheetData>
    <row r="1" spans="1:38" ht="14.25" customHeight="1" x14ac:dyDescent="0.3">
      <c r="A1" s="1" t="s">
        <v>0</v>
      </c>
    </row>
    <row r="2" spans="1:38" ht="14.25" customHeight="1" x14ac:dyDescent="0.3">
      <c r="A2" s="1"/>
    </row>
    <row r="3" spans="1:38" ht="14.25" customHeight="1" x14ac:dyDescent="0.4">
      <c r="A3" s="38" t="s">
        <v>165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40"/>
    </row>
    <row r="4" spans="1:38" ht="14.25" customHeight="1" x14ac:dyDescent="0.3">
      <c r="A4" s="5"/>
      <c r="I4" s="6"/>
      <c r="J4" s="7"/>
      <c r="K4" s="8"/>
      <c r="L4" s="8"/>
      <c r="M4" s="8"/>
      <c r="N4" s="8"/>
      <c r="O4" s="8"/>
      <c r="P4" s="8"/>
    </row>
    <row r="5" spans="1:38" ht="14.25" customHeight="1" x14ac:dyDescent="0.35">
      <c r="A5" s="9" t="s">
        <v>1</v>
      </c>
      <c r="D5" s="10"/>
      <c r="I5" s="11" t="s">
        <v>2</v>
      </c>
      <c r="J5" s="8"/>
      <c r="K5" s="8"/>
      <c r="L5" s="8"/>
      <c r="M5" s="12"/>
      <c r="N5" s="8"/>
      <c r="O5" s="8"/>
      <c r="P5" s="8"/>
      <c r="R5" s="11" t="s">
        <v>3</v>
      </c>
      <c r="V5" s="10"/>
      <c r="AA5" s="11" t="s">
        <v>4</v>
      </c>
      <c r="AE5" s="10"/>
    </row>
    <row r="6" spans="1:38" ht="14.25" customHeight="1" x14ac:dyDescent="0.3">
      <c r="A6" s="13" t="s">
        <v>140</v>
      </c>
      <c r="I6" s="13" t="s">
        <v>166</v>
      </c>
      <c r="J6" s="8"/>
      <c r="K6" s="8"/>
      <c r="L6" s="8"/>
      <c r="M6" s="8"/>
      <c r="N6" s="8"/>
      <c r="O6" s="8"/>
      <c r="P6" s="8"/>
      <c r="R6" s="13" t="s">
        <v>7</v>
      </c>
      <c r="AA6" s="13" t="s">
        <v>7</v>
      </c>
    </row>
    <row r="7" spans="1:38" ht="14.25" customHeight="1" x14ac:dyDescent="0.3">
      <c r="I7" s="8"/>
      <c r="J7" s="8"/>
      <c r="K7" s="8"/>
      <c r="L7" s="8"/>
      <c r="M7" s="8"/>
      <c r="N7" s="8"/>
      <c r="O7" s="8"/>
      <c r="P7" s="8"/>
    </row>
    <row r="8" spans="1:38" ht="14.25" customHeight="1" x14ac:dyDescent="0.3">
      <c r="I8" s="8"/>
      <c r="J8" s="8"/>
      <c r="K8" s="8"/>
      <c r="L8" s="8"/>
      <c r="M8" s="8"/>
      <c r="N8" s="8"/>
      <c r="O8" s="8"/>
      <c r="P8" s="8"/>
    </row>
    <row r="9" spans="1:38" ht="14.25" customHeight="1" x14ac:dyDescent="0.3">
      <c r="I9" s="8"/>
      <c r="J9" s="8"/>
      <c r="K9" s="8"/>
      <c r="L9" s="8"/>
      <c r="M9" s="8"/>
      <c r="N9" s="8"/>
      <c r="O9" s="8"/>
      <c r="P9" s="8"/>
    </row>
    <row r="10" spans="1:38" ht="14.25" customHeight="1" x14ac:dyDescent="0.3">
      <c r="I10" s="8"/>
      <c r="J10" s="8"/>
      <c r="K10" s="8"/>
      <c r="L10" s="8"/>
      <c r="M10" s="8"/>
      <c r="N10" s="8"/>
      <c r="O10" s="8"/>
      <c r="P10" s="8"/>
    </row>
    <row r="11" spans="1:38" ht="14.25" customHeight="1" x14ac:dyDescent="0.3">
      <c r="I11" s="8"/>
      <c r="J11" s="8"/>
      <c r="K11" s="8"/>
      <c r="L11" s="8"/>
      <c r="M11" s="8"/>
      <c r="N11" s="8"/>
      <c r="O11" s="8"/>
      <c r="P11" s="8"/>
    </row>
    <row r="12" spans="1:38" ht="14.25" customHeight="1" x14ac:dyDescent="0.3">
      <c r="I12" s="8"/>
      <c r="J12" s="8"/>
      <c r="K12" s="8"/>
      <c r="L12" s="8"/>
      <c r="M12" s="8"/>
      <c r="N12" s="8"/>
      <c r="O12" s="8"/>
      <c r="P12" s="8"/>
    </row>
    <row r="13" spans="1:38" ht="14.25" customHeight="1" x14ac:dyDescent="0.3">
      <c r="I13" s="8"/>
      <c r="J13" s="8"/>
      <c r="K13" s="8"/>
      <c r="L13" s="8"/>
      <c r="M13" s="8"/>
      <c r="N13" s="8"/>
      <c r="O13" s="8"/>
      <c r="P13" s="8"/>
    </row>
    <row r="14" spans="1:38" ht="14.25" customHeight="1" x14ac:dyDescent="0.3">
      <c r="I14" s="8"/>
      <c r="J14" s="8"/>
      <c r="K14" s="8"/>
      <c r="L14" s="8"/>
      <c r="M14" s="8"/>
      <c r="N14" s="8"/>
      <c r="O14" s="8"/>
      <c r="P14" s="8"/>
    </row>
    <row r="15" spans="1:38" ht="14.25" customHeight="1" x14ac:dyDescent="0.3">
      <c r="I15" s="8"/>
      <c r="J15" s="8"/>
      <c r="K15" s="8"/>
      <c r="L15" s="8"/>
      <c r="M15" s="8"/>
      <c r="N15" s="8"/>
      <c r="O15" s="8"/>
      <c r="P15" s="8"/>
    </row>
    <row r="16" spans="1:38" ht="14.25" customHeight="1" x14ac:dyDescent="0.3">
      <c r="I16" s="8"/>
      <c r="J16" s="8"/>
      <c r="K16" s="8"/>
      <c r="L16" s="8"/>
      <c r="M16" s="8"/>
      <c r="N16" s="8"/>
      <c r="O16" s="8"/>
      <c r="P16" s="8"/>
      <c r="R16" s="14"/>
    </row>
    <row r="17" spans="1:39" ht="24" customHeight="1" x14ac:dyDescent="0.3">
      <c r="A17" s="41" t="s">
        <v>8</v>
      </c>
      <c r="B17" s="41" t="s">
        <v>9</v>
      </c>
      <c r="C17" s="41" t="s">
        <v>10</v>
      </c>
      <c r="D17" s="41" t="s">
        <v>11</v>
      </c>
      <c r="E17" s="41" t="s">
        <v>12</v>
      </c>
      <c r="F17" s="41" t="s">
        <v>13</v>
      </c>
      <c r="G17" s="41" t="s">
        <v>14</v>
      </c>
      <c r="H17" s="16"/>
      <c r="I17" s="42" t="s">
        <v>8</v>
      </c>
      <c r="J17" s="41" t="s">
        <v>15</v>
      </c>
      <c r="K17" s="41" t="s">
        <v>16</v>
      </c>
      <c r="L17" s="41" t="s">
        <v>10</v>
      </c>
      <c r="M17" s="41" t="s">
        <v>11</v>
      </c>
      <c r="N17" s="41" t="s">
        <v>17</v>
      </c>
      <c r="O17" s="41" t="s">
        <v>18</v>
      </c>
      <c r="P17" s="41" t="s">
        <v>13</v>
      </c>
      <c r="Q17" s="18"/>
      <c r="R17" s="42" t="s">
        <v>8</v>
      </c>
      <c r="S17" s="43" t="s">
        <v>19</v>
      </c>
      <c r="T17" s="43" t="s">
        <v>20</v>
      </c>
      <c r="U17" s="43" t="s">
        <v>10</v>
      </c>
      <c r="V17" s="43" t="s">
        <v>11</v>
      </c>
      <c r="W17" s="43" t="s">
        <v>17</v>
      </c>
      <c r="X17" s="43" t="s">
        <v>18</v>
      </c>
      <c r="Y17" s="43" t="s">
        <v>21</v>
      </c>
      <c r="Z17" s="18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4.25" customHeight="1" x14ac:dyDescent="0.3">
      <c r="A18" s="19" t="s">
        <v>22</v>
      </c>
      <c r="B18" s="22" t="s">
        <v>23</v>
      </c>
      <c r="C18" s="22" t="s">
        <v>24</v>
      </c>
      <c r="D18" s="23">
        <v>1</v>
      </c>
      <c r="E18" s="23">
        <v>1</v>
      </c>
      <c r="F18" s="23">
        <v>4</v>
      </c>
      <c r="G18" s="23" t="s">
        <v>25</v>
      </c>
      <c r="H18" s="21"/>
      <c r="I18" s="19" t="s">
        <v>167</v>
      </c>
      <c r="J18" s="22" t="s">
        <v>115</v>
      </c>
      <c r="K18" s="22" t="s">
        <v>168</v>
      </c>
      <c r="L18" s="22" t="s">
        <v>116</v>
      </c>
      <c r="M18" s="23">
        <v>1</v>
      </c>
      <c r="N18" s="23" t="s">
        <v>75</v>
      </c>
      <c r="O18" s="23" t="s">
        <v>61</v>
      </c>
      <c r="P18" s="23">
        <v>4</v>
      </c>
      <c r="R18" s="23" t="s">
        <v>167</v>
      </c>
      <c r="S18" s="22"/>
      <c r="T18" s="22"/>
      <c r="U18" s="20"/>
      <c r="V18" s="23"/>
      <c r="W18" s="23"/>
      <c r="X18" s="23"/>
      <c r="Y18" s="44">
        <f>'Työaika ryhmä'!I59</f>
        <v>0</v>
      </c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</row>
    <row r="19" spans="1:39" ht="14.25" customHeight="1" x14ac:dyDescent="0.3">
      <c r="A19" s="19" t="s">
        <v>31</v>
      </c>
      <c r="B19" s="22" t="s">
        <v>32</v>
      </c>
      <c r="C19" s="22" t="s">
        <v>24</v>
      </c>
      <c r="D19" s="23">
        <v>1</v>
      </c>
      <c r="E19" s="23">
        <v>1</v>
      </c>
      <c r="F19" s="23">
        <v>6</v>
      </c>
      <c r="G19" s="23" t="s">
        <v>25</v>
      </c>
      <c r="H19" s="21"/>
      <c r="I19" s="19" t="s">
        <v>169</v>
      </c>
      <c r="J19" s="22" t="s">
        <v>118</v>
      </c>
      <c r="K19" s="22" t="s">
        <v>170</v>
      </c>
      <c r="L19" s="22" t="s">
        <v>107</v>
      </c>
      <c r="M19" s="23">
        <v>1</v>
      </c>
      <c r="N19" s="23" t="s">
        <v>75</v>
      </c>
      <c r="O19" s="23" t="s">
        <v>30</v>
      </c>
      <c r="P19" s="23">
        <v>6</v>
      </c>
      <c r="R19" s="23" t="s">
        <v>169</v>
      </c>
      <c r="S19" s="22"/>
      <c r="T19" s="22"/>
      <c r="U19" s="20"/>
      <c r="V19" s="23"/>
      <c r="W19" s="23"/>
      <c r="X19" s="23"/>
      <c r="Y19" s="44">
        <f>'Työaika ryhmä'!J59</f>
        <v>0</v>
      </c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</row>
    <row r="20" spans="1:39" ht="14.25" customHeight="1" x14ac:dyDescent="0.3">
      <c r="A20" s="19" t="s">
        <v>38</v>
      </c>
      <c r="B20" s="22" t="s">
        <v>39</v>
      </c>
      <c r="C20" s="22" t="s">
        <v>40</v>
      </c>
      <c r="D20" s="23">
        <v>1</v>
      </c>
      <c r="E20" s="23">
        <v>1</v>
      </c>
      <c r="F20" s="23">
        <v>4</v>
      </c>
      <c r="G20" s="23" t="s">
        <v>25</v>
      </c>
      <c r="H20" s="21"/>
      <c r="I20" s="19" t="s">
        <v>171</v>
      </c>
      <c r="J20" s="22" t="s">
        <v>120</v>
      </c>
      <c r="K20" s="22" t="s">
        <v>172</v>
      </c>
      <c r="L20" s="22" t="s">
        <v>107</v>
      </c>
      <c r="M20" s="23">
        <v>1</v>
      </c>
      <c r="N20" s="23" t="s">
        <v>75</v>
      </c>
      <c r="O20" s="23" t="s">
        <v>61</v>
      </c>
      <c r="P20" s="23">
        <v>6</v>
      </c>
      <c r="R20" s="23" t="s">
        <v>171</v>
      </c>
      <c r="S20" s="22"/>
      <c r="T20" s="22"/>
      <c r="U20" s="20"/>
      <c r="V20" s="23"/>
      <c r="W20" s="23"/>
      <c r="X20" s="23"/>
      <c r="Y20" s="44">
        <f>'Työaika ryhmä'!K59</f>
        <v>0</v>
      </c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</row>
    <row r="21" spans="1:39" ht="14.25" customHeight="1" x14ac:dyDescent="0.3">
      <c r="A21" s="19" t="s">
        <v>44</v>
      </c>
      <c r="B21" s="22" t="s">
        <v>45</v>
      </c>
      <c r="C21" s="22" t="s">
        <v>40</v>
      </c>
      <c r="D21" s="23">
        <v>1</v>
      </c>
      <c r="E21" s="23">
        <v>1</v>
      </c>
      <c r="F21" s="23">
        <v>10</v>
      </c>
      <c r="G21" s="23" t="s">
        <v>25</v>
      </c>
      <c r="H21" s="21"/>
      <c r="I21" s="19" t="s">
        <v>173</v>
      </c>
      <c r="J21" s="22" t="s">
        <v>122</v>
      </c>
      <c r="K21" s="22" t="s">
        <v>174</v>
      </c>
      <c r="L21" s="22" t="s">
        <v>123</v>
      </c>
      <c r="M21" s="23">
        <v>1</v>
      </c>
      <c r="N21" s="23" t="s">
        <v>146</v>
      </c>
      <c r="O21" s="23" t="s">
        <v>61</v>
      </c>
      <c r="P21" s="23">
        <v>6</v>
      </c>
      <c r="R21" s="23" t="s">
        <v>173</v>
      </c>
      <c r="S21" s="22"/>
      <c r="T21" s="22"/>
      <c r="U21" s="20"/>
      <c r="V21" s="23"/>
      <c r="W21" s="23"/>
      <c r="X21" s="23"/>
      <c r="Y21" s="44">
        <f>'Työaika ryhmä'!L59</f>
        <v>0</v>
      </c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</row>
    <row r="22" spans="1:39" ht="14.25" customHeight="1" x14ac:dyDescent="0.3">
      <c r="A22" s="19" t="s">
        <v>50</v>
      </c>
      <c r="B22" s="22" t="s">
        <v>51</v>
      </c>
      <c r="C22" s="22" t="s">
        <v>52</v>
      </c>
      <c r="D22" s="23">
        <v>1</v>
      </c>
      <c r="E22" s="23">
        <v>1</v>
      </c>
      <c r="F22" s="23">
        <v>6</v>
      </c>
      <c r="G22" s="23" t="s">
        <v>25</v>
      </c>
      <c r="H22" s="21"/>
      <c r="I22" s="19" t="s">
        <v>175</v>
      </c>
      <c r="J22" s="22" t="s">
        <v>125</v>
      </c>
      <c r="K22" s="22" t="s">
        <v>176</v>
      </c>
      <c r="L22" s="22" t="s">
        <v>126</v>
      </c>
      <c r="M22" s="23">
        <v>1</v>
      </c>
      <c r="N22" s="23" t="s">
        <v>35</v>
      </c>
      <c r="O22" s="23" t="s">
        <v>75</v>
      </c>
      <c r="P22" s="23">
        <v>6</v>
      </c>
      <c r="R22" s="23" t="s">
        <v>175</v>
      </c>
      <c r="S22" s="22"/>
      <c r="T22" s="22"/>
      <c r="U22" s="20"/>
      <c r="V22" s="23"/>
      <c r="W22" s="23"/>
      <c r="X22" s="23"/>
      <c r="Y22" s="44">
        <f>'Työaika ryhmä'!M59</f>
        <v>0</v>
      </c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</row>
    <row r="23" spans="1:39" ht="14.25" customHeight="1" x14ac:dyDescent="0.3">
      <c r="A23" s="19" t="s">
        <v>56</v>
      </c>
      <c r="B23" s="22" t="s">
        <v>57</v>
      </c>
      <c r="C23" s="22" t="s">
        <v>58</v>
      </c>
      <c r="D23" s="23">
        <v>1</v>
      </c>
      <c r="E23" s="23">
        <v>1</v>
      </c>
      <c r="F23" s="23">
        <v>6</v>
      </c>
      <c r="G23" s="23" t="s">
        <v>25</v>
      </c>
      <c r="H23" s="21"/>
      <c r="I23" s="19" t="s">
        <v>177</v>
      </c>
      <c r="J23" s="22" t="s">
        <v>128</v>
      </c>
      <c r="K23" s="22" t="s">
        <v>178</v>
      </c>
      <c r="L23" s="22" t="s">
        <v>129</v>
      </c>
      <c r="M23" s="23">
        <v>2</v>
      </c>
      <c r="N23" s="23" t="s">
        <v>151</v>
      </c>
      <c r="O23" s="23" t="s">
        <v>146</v>
      </c>
      <c r="P23" s="23">
        <v>5</v>
      </c>
      <c r="R23" s="23" t="s">
        <v>177</v>
      </c>
      <c r="S23" s="22"/>
      <c r="T23" s="22"/>
      <c r="U23" s="20"/>
      <c r="V23" s="23"/>
      <c r="W23" s="23"/>
      <c r="X23" s="23"/>
      <c r="Y23" s="44">
        <f>'Työaika ryhmä'!N59</f>
        <v>0</v>
      </c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</row>
    <row r="24" spans="1:39" ht="14.25" customHeight="1" x14ac:dyDescent="0.3">
      <c r="A24" s="19" t="s">
        <v>63</v>
      </c>
      <c r="B24" s="26" t="s">
        <v>64</v>
      </c>
      <c r="C24" s="26" t="s">
        <v>58</v>
      </c>
      <c r="D24" s="23">
        <v>2</v>
      </c>
      <c r="E24" s="23">
        <v>1</v>
      </c>
      <c r="F24" s="23">
        <v>6</v>
      </c>
      <c r="G24" s="23" t="s">
        <v>25</v>
      </c>
      <c r="I24" s="19" t="s">
        <v>179</v>
      </c>
      <c r="J24" s="22" t="s">
        <v>131</v>
      </c>
      <c r="K24" s="22" t="s">
        <v>180</v>
      </c>
      <c r="L24" s="26" t="s">
        <v>102</v>
      </c>
      <c r="M24" s="23">
        <v>2</v>
      </c>
      <c r="N24" s="23" t="s">
        <v>156</v>
      </c>
      <c r="O24" s="23" t="s">
        <v>29</v>
      </c>
      <c r="P24" s="23">
        <v>5</v>
      </c>
      <c r="R24" s="23" t="s">
        <v>179</v>
      </c>
      <c r="S24" s="22"/>
      <c r="T24" s="22"/>
      <c r="U24" s="26"/>
      <c r="V24" s="23"/>
      <c r="W24" s="23"/>
      <c r="X24" s="23"/>
      <c r="Y24" s="44">
        <f>'Työaika ryhmä'!O59</f>
        <v>0</v>
      </c>
    </row>
    <row r="25" spans="1:39" ht="14.25" customHeight="1" x14ac:dyDescent="0.3">
      <c r="A25" s="19" t="s">
        <v>69</v>
      </c>
      <c r="B25" s="26" t="s">
        <v>70</v>
      </c>
      <c r="C25" s="26" t="s">
        <v>71</v>
      </c>
      <c r="D25" s="23">
        <v>2</v>
      </c>
      <c r="E25" s="23">
        <v>1</v>
      </c>
      <c r="F25" s="23">
        <v>4</v>
      </c>
      <c r="G25" s="23" t="s">
        <v>72</v>
      </c>
      <c r="I25" s="19" t="s">
        <v>181</v>
      </c>
      <c r="J25" s="22" t="s">
        <v>133</v>
      </c>
      <c r="K25" s="22" t="s">
        <v>182</v>
      </c>
      <c r="L25" s="26" t="s">
        <v>71</v>
      </c>
      <c r="M25" s="23">
        <v>1</v>
      </c>
      <c r="N25" s="23" t="s">
        <v>35</v>
      </c>
      <c r="O25" s="23" t="s">
        <v>29</v>
      </c>
      <c r="P25" s="23">
        <v>6</v>
      </c>
      <c r="R25" s="23" t="s">
        <v>181</v>
      </c>
      <c r="S25" s="22"/>
      <c r="T25" s="22"/>
      <c r="U25" s="26"/>
      <c r="V25" s="23"/>
      <c r="W25" s="23"/>
      <c r="X25" s="23"/>
      <c r="Y25" s="44">
        <f>'Työaika ryhmä'!P59</f>
        <v>0</v>
      </c>
    </row>
    <row r="26" spans="1:39" ht="14.25" customHeight="1" x14ac:dyDescent="0.3">
      <c r="A26" s="19" t="s">
        <v>76</v>
      </c>
      <c r="B26" s="26" t="s">
        <v>77</v>
      </c>
      <c r="C26" s="26" t="s">
        <v>78</v>
      </c>
      <c r="D26" s="23">
        <v>1</v>
      </c>
      <c r="E26" s="23">
        <v>1</v>
      </c>
      <c r="F26" s="23">
        <v>2</v>
      </c>
      <c r="G26" s="23" t="s">
        <v>25</v>
      </c>
      <c r="I26" s="19" t="s">
        <v>183</v>
      </c>
      <c r="J26" s="22" t="s">
        <v>135</v>
      </c>
      <c r="K26" s="22" t="s">
        <v>184</v>
      </c>
      <c r="L26" s="26" t="s">
        <v>83</v>
      </c>
      <c r="M26" s="23">
        <v>2</v>
      </c>
      <c r="N26" s="23" t="s">
        <v>156</v>
      </c>
      <c r="O26" s="23" t="s">
        <v>30</v>
      </c>
      <c r="P26" s="23">
        <v>4</v>
      </c>
      <c r="R26" s="23" t="s">
        <v>183</v>
      </c>
      <c r="S26" s="22"/>
      <c r="T26" s="22"/>
      <c r="U26" s="26"/>
      <c r="V26" s="23"/>
      <c r="W26" s="23"/>
      <c r="X26" s="23"/>
      <c r="Y26" s="44">
        <f>'Työaika ryhmä'!Q59</f>
        <v>0</v>
      </c>
    </row>
    <row r="27" spans="1:39" ht="14.25" customHeight="1" x14ac:dyDescent="0.3">
      <c r="A27" s="19" t="s">
        <v>81</v>
      </c>
      <c r="B27" s="26" t="s">
        <v>82</v>
      </c>
      <c r="C27" s="26" t="s">
        <v>83</v>
      </c>
      <c r="D27" s="23">
        <v>2</v>
      </c>
      <c r="E27" s="23">
        <v>1</v>
      </c>
      <c r="F27" s="23">
        <v>4</v>
      </c>
      <c r="G27" s="23" t="s">
        <v>72</v>
      </c>
      <c r="I27" s="19" t="s">
        <v>185</v>
      </c>
      <c r="J27" s="22" t="s">
        <v>137</v>
      </c>
      <c r="K27" s="22" t="s">
        <v>186</v>
      </c>
      <c r="L27" s="26" t="s">
        <v>138</v>
      </c>
      <c r="M27" s="23">
        <v>1</v>
      </c>
      <c r="N27" s="23" t="s">
        <v>29</v>
      </c>
      <c r="O27" s="23" t="s">
        <v>30</v>
      </c>
      <c r="P27" s="23">
        <v>4</v>
      </c>
      <c r="R27" s="23" t="s">
        <v>185</v>
      </c>
      <c r="S27" s="22"/>
      <c r="T27" s="22"/>
      <c r="U27" s="26"/>
      <c r="V27" s="23"/>
      <c r="W27" s="23"/>
      <c r="X27" s="23"/>
      <c r="Y27" s="44">
        <f>'Työaika ryhmä'!R59</f>
        <v>0</v>
      </c>
    </row>
    <row r="28" spans="1:39" ht="14.25" customHeight="1" x14ac:dyDescent="0.3">
      <c r="A28" s="19" t="s">
        <v>87</v>
      </c>
      <c r="B28" s="22" t="s">
        <v>88</v>
      </c>
      <c r="C28" s="22" t="s">
        <v>89</v>
      </c>
      <c r="D28" s="23">
        <v>1</v>
      </c>
      <c r="E28" s="23">
        <v>2</v>
      </c>
      <c r="F28" s="23">
        <v>6</v>
      </c>
      <c r="G28" s="23" t="s">
        <v>72</v>
      </c>
      <c r="I28" s="28"/>
      <c r="J28" s="37"/>
      <c r="K28" s="37"/>
      <c r="L28" s="37"/>
      <c r="M28" s="37"/>
      <c r="N28" s="37"/>
      <c r="O28" s="37"/>
      <c r="P28" s="21">
        <f>SUM(P18:P27)</f>
        <v>52</v>
      </c>
      <c r="R28" s="14"/>
      <c r="Y28" s="44">
        <f>'Työaika ryhmä'!S59</f>
        <v>0</v>
      </c>
    </row>
    <row r="29" spans="1:39" ht="14.25" customHeight="1" x14ac:dyDescent="0.3">
      <c r="A29" s="19" t="s">
        <v>90</v>
      </c>
      <c r="B29" s="22" t="s">
        <v>91</v>
      </c>
      <c r="C29" s="22" t="s">
        <v>89</v>
      </c>
      <c r="D29" s="23">
        <v>1</v>
      </c>
      <c r="E29" s="23">
        <v>2</v>
      </c>
      <c r="F29" s="23">
        <v>8</v>
      </c>
      <c r="G29" s="23" t="s">
        <v>72</v>
      </c>
    </row>
    <row r="30" spans="1:39" ht="14.25" customHeight="1" x14ac:dyDescent="0.3">
      <c r="A30" s="19" t="s">
        <v>92</v>
      </c>
      <c r="B30" s="22" t="s">
        <v>93</v>
      </c>
      <c r="C30" s="22" t="s">
        <v>89</v>
      </c>
      <c r="D30" s="23">
        <v>1</v>
      </c>
      <c r="E30" s="23">
        <v>2</v>
      </c>
      <c r="F30" s="23">
        <v>8</v>
      </c>
      <c r="G30" s="23" t="s">
        <v>72</v>
      </c>
    </row>
    <row r="31" spans="1:39" ht="14.25" customHeight="1" x14ac:dyDescent="0.3">
      <c r="A31" s="19" t="s">
        <v>94</v>
      </c>
      <c r="B31" s="22" t="s">
        <v>95</v>
      </c>
      <c r="C31" s="22" t="s">
        <v>96</v>
      </c>
      <c r="D31" s="23">
        <v>1</v>
      </c>
      <c r="E31" s="23">
        <v>2</v>
      </c>
      <c r="F31" s="23">
        <v>6</v>
      </c>
      <c r="G31" s="23" t="s">
        <v>72</v>
      </c>
    </row>
    <row r="32" spans="1:39" ht="14.25" customHeight="1" x14ac:dyDescent="0.3">
      <c r="A32" s="19" t="s">
        <v>97</v>
      </c>
      <c r="B32" s="22" t="s">
        <v>98</v>
      </c>
      <c r="C32" s="22" t="s">
        <v>99</v>
      </c>
      <c r="D32" s="23">
        <v>2</v>
      </c>
      <c r="E32" s="23">
        <v>2</v>
      </c>
      <c r="F32" s="23">
        <v>6</v>
      </c>
      <c r="G32" s="23" t="s">
        <v>72</v>
      </c>
    </row>
    <row r="33" spans="1:7" ht="14.25" customHeight="1" x14ac:dyDescent="0.3">
      <c r="A33" s="19" t="s">
        <v>100</v>
      </c>
      <c r="B33" s="22" t="s">
        <v>101</v>
      </c>
      <c r="C33" s="22" t="s">
        <v>102</v>
      </c>
      <c r="D33" s="23">
        <v>2</v>
      </c>
      <c r="E33" s="23">
        <v>2</v>
      </c>
      <c r="F33" s="23">
        <v>6</v>
      </c>
      <c r="G33" s="23" t="s">
        <v>72</v>
      </c>
    </row>
    <row r="34" spans="1:7" ht="14.25" customHeight="1" x14ac:dyDescent="0.3">
      <c r="A34" s="19" t="s">
        <v>103</v>
      </c>
      <c r="B34" s="22" t="s">
        <v>104</v>
      </c>
      <c r="C34" s="26" t="s">
        <v>102</v>
      </c>
      <c r="D34" s="23">
        <v>2</v>
      </c>
      <c r="E34" s="23">
        <v>2</v>
      </c>
      <c r="F34" s="23">
        <v>6</v>
      </c>
      <c r="G34" s="23" t="s">
        <v>72</v>
      </c>
    </row>
    <row r="35" spans="1:7" ht="14.25" customHeight="1" x14ac:dyDescent="0.3">
      <c r="A35" s="19" t="s">
        <v>105</v>
      </c>
      <c r="B35" s="22" t="s">
        <v>106</v>
      </c>
      <c r="C35" s="26" t="s">
        <v>107</v>
      </c>
      <c r="D35" s="23">
        <v>1</v>
      </c>
      <c r="E35" s="23">
        <v>2</v>
      </c>
      <c r="F35" s="23">
        <v>6</v>
      </c>
      <c r="G35" s="23" t="s">
        <v>72</v>
      </c>
    </row>
    <row r="36" spans="1:7" ht="14.25" customHeight="1" x14ac:dyDescent="0.3">
      <c r="A36" s="19" t="s">
        <v>108</v>
      </c>
      <c r="B36" s="22" t="s">
        <v>109</v>
      </c>
      <c r="C36" s="26" t="s">
        <v>110</v>
      </c>
      <c r="D36" s="23">
        <v>2</v>
      </c>
      <c r="E36" s="23">
        <v>2</v>
      </c>
      <c r="F36" s="23">
        <v>4</v>
      </c>
      <c r="G36" s="23" t="s">
        <v>72</v>
      </c>
    </row>
    <row r="37" spans="1:7" ht="14.25" customHeight="1" x14ac:dyDescent="0.3">
      <c r="A37" s="19" t="s">
        <v>111</v>
      </c>
      <c r="B37" s="22" t="s">
        <v>112</v>
      </c>
      <c r="C37" s="26" t="s">
        <v>113</v>
      </c>
      <c r="D37" s="23">
        <v>2</v>
      </c>
      <c r="E37" s="23">
        <v>2</v>
      </c>
      <c r="F37" s="23">
        <v>2</v>
      </c>
      <c r="G37" s="23" t="s">
        <v>72</v>
      </c>
    </row>
    <row r="38" spans="1:7" ht="14.25" customHeight="1" x14ac:dyDescent="0.3">
      <c r="A38" s="19" t="s">
        <v>114</v>
      </c>
      <c r="B38" s="20" t="s">
        <v>115</v>
      </c>
      <c r="C38" s="20" t="s">
        <v>116</v>
      </c>
      <c r="D38" s="19">
        <v>1</v>
      </c>
      <c r="E38" s="19">
        <v>3</v>
      </c>
      <c r="F38" s="19">
        <v>4</v>
      </c>
      <c r="G38" s="19" t="s">
        <v>72</v>
      </c>
    </row>
    <row r="39" spans="1:7" ht="14.25" customHeight="1" x14ac:dyDescent="0.3">
      <c r="A39" s="19" t="s">
        <v>117</v>
      </c>
      <c r="B39" s="20" t="s">
        <v>118</v>
      </c>
      <c r="C39" s="20" t="s">
        <v>107</v>
      </c>
      <c r="D39" s="19">
        <v>1</v>
      </c>
      <c r="E39" s="19">
        <v>3</v>
      </c>
      <c r="F39" s="19">
        <v>6</v>
      </c>
      <c r="G39" s="19" t="s">
        <v>72</v>
      </c>
    </row>
    <row r="40" spans="1:7" ht="14.25" customHeight="1" x14ac:dyDescent="0.3">
      <c r="A40" s="19" t="s">
        <v>119</v>
      </c>
      <c r="B40" s="20" t="s">
        <v>120</v>
      </c>
      <c r="C40" s="20" t="s">
        <v>107</v>
      </c>
      <c r="D40" s="19">
        <v>1</v>
      </c>
      <c r="E40" s="19">
        <v>3</v>
      </c>
      <c r="F40" s="19">
        <v>6</v>
      </c>
      <c r="G40" s="19" t="s">
        <v>72</v>
      </c>
    </row>
    <row r="41" spans="1:7" ht="14.25" customHeight="1" x14ac:dyDescent="0.3">
      <c r="A41" s="19" t="s">
        <v>121</v>
      </c>
      <c r="B41" s="20" t="s">
        <v>122</v>
      </c>
      <c r="C41" s="20" t="s">
        <v>123</v>
      </c>
      <c r="D41" s="19">
        <v>1</v>
      </c>
      <c r="E41" s="19">
        <v>3</v>
      </c>
      <c r="F41" s="19">
        <v>6</v>
      </c>
      <c r="G41" s="19" t="s">
        <v>72</v>
      </c>
    </row>
    <row r="42" spans="1:7" ht="14.25" customHeight="1" x14ac:dyDescent="0.3">
      <c r="A42" s="19" t="s">
        <v>124</v>
      </c>
      <c r="B42" s="20" t="s">
        <v>125</v>
      </c>
      <c r="C42" s="20" t="s">
        <v>126</v>
      </c>
      <c r="D42" s="19">
        <v>1</v>
      </c>
      <c r="E42" s="19">
        <v>3</v>
      </c>
      <c r="F42" s="19">
        <v>6</v>
      </c>
      <c r="G42" s="19" t="s">
        <v>72</v>
      </c>
    </row>
    <row r="43" spans="1:7" ht="14.25" customHeight="1" x14ac:dyDescent="0.3">
      <c r="A43" s="19" t="s">
        <v>127</v>
      </c>
      <c r="B43" s="20" t="s">
        <v>128</v>
      </c>
      <c r="C43" s="20" t="s">
        <v>129</v>
      </c>
      <c r="D43" s="19">
        <v>2</v>
      </c>
      <c r="E43" s="19">
        <v>3</v>
      </c>
      <c r="F43" s="19">
        <v>5</v>
      </c>
      <c r="G43" s="19" t="s">
        <v>72</v>
      </c>
    </row>
    <row r="44" spans="1:7" ht="14.25" customHeight="1" x14ac:dyDescent="0.3">
      <c r="A44" s="19" t="s">
        <v>130</v>
      </c>
      <c r="B44" s="20" t="s">
        <v>131</v>
      </c>
      <c r="C44" s="25" t="s">
        <v>102</v>
      </c>
      <c r="D44" s="19">
        <v>2</v>
      </c>
      <c r="E44" s="19">
        <v>3</v>
      </c>
      <c r="F44" s="19">
        <v>5</v>
      </c>
      <c r="G44" s="19" t="s">
        <v>72</v>
      </c>
    </row>
    <row r="45" spans="1:7" ht="14.25" customHeight="1" x14ac:dyDescent="0.3">
      <c r="A45" s="19" t="s">
        <v>132</v>
      </c>
      <c r="B45" s="20" t="s">
        <v>133</v>
      </c>
      <c r="C45" s="25" t="s">
        <v>71</v>
      </c>
      <c r="D45" s="19">
        <v>1</v>
      </c>
      <c r="E45" s="19">
        <v>3</v>
      </c>
      <c r="F45" s="19">
        <v>6</v>
      </c>
      <c r="G45" s="19" t="s">
        <v>72</v>
      </c>
    </row>
    <row r="46" spans="1:7" ht="14.25" customHeight="1" x14ac:dyDescent="0.3">
      <c r="A46" s="19" t="s">
        <v>134</v>
      </c>
      <c r="B46" s="20" t="s">
        <v>135</v>
      </c>
      <c r="C46" s="25" t="s">
        <v>83</v>
      </c>
      <c r="D46" s="19">
        <v>2</v>
      </c>
      <c r="E46" s="19">
        <v>3</v>
      </c>
      <c r="F46" s="19">
        <v>4</v>
      </c>
      <c r="G46" s="19" t="s">
        <v>72</v>
      </c>
    </row>
    <row r="47" spans="1:7" ht="14.25" customHeight="1" x14ac:dyDescent="0.3">
      <c r="A47" s="19" t="s">
        <v>136</v>
      </c>
      <c r="B47" s="20" t="s">
        <v>137</v>
      </c>
      <c r="C47" s="25" t="s">
        <v>138</v>
      </c>
      <c r="D47" s="19">
        <v>1</v>
      </c>
      <c r="E47" s="19">
        <v>3</v>
      </c>
      <c r="F47" s="19">
        <v>4</v>
      </c>
      <c r="G47" s="19" t="s">
        <v>72</v>
      </c>
    </row>
    <row r="48" spans="1:7" ht="14.25" customHeight="1" x14ac:dyDescent="0.3"/>
    <row r="49" spans="6:9" ht="14.25" customHeight="1" x14ac:dyDescent="0.3">
      <c r="F49" s="5">
        <f>SUM(F18:F47)</f>
        <v>162</v>
      </c>
    </row>
    <row r="50" spans="6:9" ht="14.25" customHeight="1" x14ac:dyDescent="0.3"/>
    <row r="51" spans="6:9" ht="14.25" customHeight="1" x14ac:dyDescent="0.3"/>
    <row r="52" spans="6:9" ht="14.25" customHeight="1" x14ac:dyDescent="0.3"/>
    <row r="53" spans="6:9" ht="14.25" customHeight="1" x14ac:dyDescent="0.3"/>
    <row r="54" spans="6:9" ht="14.25" customHeight="1" x14ac:dyDescent="0.3"/>
    <row r="55" spans="6:9" ht="14.25" customHeight="1" x14ac:dyDescent="0.3"/>
    <row r="56" spans="6:9" ht="14.25" customHeight="1" x14ac:dyDescent="0.3"/>
    <row r="57" spans="6:9" ht="14.25" customHeight="1" x14ac:dyDescent="0.3"/>
    <row r="58" spans="6:9" ht="14.25" customHeight="1" x14ac:dyDescent="0.3"/>
    <row r="59" spans="6:9" ht="14.25" customHeight="1" x14ac:dyDescent="0.3"/>
    <row r="60" spans="6:9" ht="14.25" customHeight="1" x14ac:dyDescent="0.3"/>
    <row r="61" spans="6:9" ht="14.25" customHeight="1" x14ac:dyDescent="0.3">
      <c r="I61" s="14"/>
    </row>
    <row r="62" spans="6:9" ht="14.25" customHeight="1" x14ac:dyDescent="0.3"/>
    <row r="63" spans="6:9" ht="14.25" customHeight="1" x14ac:dyDescent="0.3"/>
    <row r="64" spans="6:9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landscape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6" width="12.6640625" customWidth="1"/>
    <col min="7" max="7" width="8.6640625" customWidth="1"/>
    <col min="8" max="8" width="35.6640625" customWidth="1"/>
    <col min="9" max="18" width="5.6640625" customWidth="1"/>
    <col min="19" max="19" width="12.6640625" customWidth="1"/>
    <col min="20" max="26" width="8.6640625" customWidth="1"/>
  </cols>
  <sheetData>
    <row r="1" spans="1:26" ht="14.25" customHeight="1" x14ac:dyDescent="0.3">
      <c r="A1" s="1" t="s">
        <v>187</v>
      </c>
      <c r="B1" s="45"/>
      <c r="C1" s="45"/>
      <c r="D1" s="45"/>
      <c r="E1" s="45"/>
      <c r="F1" s="45"/>
    </row>
    <row r="2" spans="1:26" ht="14.25" customHeight="1" x14ac:dyDescent="0.3">
      <c r="A2" s="46"/>
      <c r="B2" s="45"/>
      <c r="C2" s="45"/>
      <c r="D2" s="45"/>
      <c r="E2" s="45"/>
      <c r="F2" s="45"/>
    </row>
    <row r="3" spans="1:26" ht="14.25" customHeight="1" x14ac:dyDescent="0.3">
      <c r="A3" s="47" t="s">
        <v>188</v>
      </c>
      <c r="B3" s="45"/>
      <c r="C3" s="45"/>
      <c r="D3" s="45"/>
      <c r="E3" s="45"/>
      <c r="F3" s="45"/>
      <c r="G3" s="45"/>
      <c r="H3" s="47" t="s">
        <v>189</v>
      </c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</row>
    <row r="4" spans="1:26" ht="14.25" customHeight="1" x14ac:dyDescent="0.3">
      <c r="A4" s="48"/>
      <c r="B4" s="45"/>
      <c r="C4" s="45"/>
      <c r="D4" s="45"/>
      <c r="E4" s="45"/>
      <c r="F4" s="45"/>
    </row>
    <row r="5" spans="1:26" ht="14.25" customHeight="1" x14ac:dyDescent="0.3">
      <c r="A5" s="49" t="s">
        <v>190</v>
      </c>
      <c r="B5" s="50" t="s">
        <v>191</v>
      </c>
      <c r="C5" s="50" t="s">
        <v>192</v>
      </c>
      <c r="D5" s="50" t="s">
        <v>193</v>
      </c>
      <c r="E5" s="50" t="s">
        <v>194</v>
      </c>
      <c r="F5" s="50" t="s">
        <v>195</v>
      </c>
      <c r="G5" s="21"/>
      <c r="H5" s="49" t="s">
        <v>190</v>
      </c>
      <c r="I5" s="50" t="s">
        <v>26</v>
      </c>
      <c r="J5" s="50" t="s">
        <v>33</v>
      </c>
      <c r="K5" s="50" t="s">
        <v>41</v>
      </c>
      <c r="L5" s="50" t="s">
        <v>46</v>
      </c>
      <c r="M5" s="50" t="s">
        <v>53</v>
      </c>
      <c r="N5" s="50" t="s">
        <v>59</v>
      </c>
      <c r="O5" s="50" t="s">
        <v>65</v>
      </c>
      <c r="P5" s="50" t="s">
        <v>73</v>
      </c>
      <c r="Q5" s="50" t="s">
        <v>79</v>
      </c>
      <c r="R5" s="50" t="s">
        <v>84</v>
      </c>
      <c r="S5" s="50" t="s">
        <v>195</v>
      </c>
      <c r="T5" s="21"/>
      <c r="U5" s="21"/>
      <c r="V5" s="21"/>
      <c r="W5" s="21"/>
      <c r="X5" s="21"/>
      <c r="Y5" s="21"/>
      <c r="Z5" s="21"/>
    </row>
    <row r="6" spans="1:26" ht="14.25" customHeight="1" x14ac:dyDescent="0.3">
      <c r="A6" s="51">
        <v>45957</v>
      </c>
      <c r="B6" s="23">
        <f>'Työaika jäsen 1'!B8</f>
        <v>4</v>
      </c>
      <c r="C6" s="23">
        <v>0</v>
      </c>
      <c r="D6" s="23">
        <v>0</v>
      </c>
      <c r="E6" s="23">
        <f>'Työaika jäsen 4'!B8</f>
        <v>0</v>
      </c>
      <c r="F6" s="23">
        <f t="shared" ref="F6:F20" si="0">SUM(B6:E6)</f>
        <v>4</v>
      </c>
      <c r="H6" s="51">
        <v>45957</v>
      </c>
      <c r="I6" s="23">
        <f>'Työaika jäsen 1'!C8+'Työaika jäsen 2'!C8+'Työaika jäsen 3'!C8+'Työaika jäsen 4'!C8</f>
        <v>1</v>
      </c>
      <c r="J6" s="23">
        <f>'Työaika jäsen 1'!D8+'Työaika jäsen 2'!D8+'Työaika jäsen 3'!D8+'Työaika jäsen 4'!D8</f>
        <v>1</v>
      </c>
      <c r="K6" s="23">
        <f>'Työaika jäsen 1'!E8+'Työaika jäsen 2'!E8+'Työaika jäsen 3'!E8+'Työaika jäsen 4'!E8</f>
        <v>1</v>
      </c>
      <c r="L6" s="23">
        <f>'Työaika jäsen 1'!F8+'Työaika jäsen 2'!F8+'Työaika jäsen 3'!F8+'Työaika jäsen 4'!F8</f>
        <v>1</v>
      </c>
      <c r="M6" s="23">
        <f>'Työaika jäsen 1'!G8+'Työaika jäsen 2'!G8+'Työaika jäsen 3'!G8+'Työaika jäsen 4'!G8</f>
        <v>0</v>
      </c>
      <c r="N6" s="23">
        <f>'Työaika jäsen 1'!H8+'Työaika jäsen 2'!H8+'Työaika jäsen 3'!H8+'Työaika jäsen 4'!H8</f>
        <v>0</v>
      </c>
      <c r="O6" s="23">
        <f>'Työaika jäsen 1'!I8+'Työaika jäsen 2'!I8+'Työaika jäsen 3'!I8+'Työaika jäsen 4'!I8</f>
        <v>0</v>
      </c>
      <c r="P6" s="23">
        <f>'Työaika jäsen 1'!J8+'Työaika jäsen 2'!J8+'Työaika jäsen 3'!J8+'Työaika jäsen 4'!J8</f>
        <v>0</v>
      </c>
      <c r="Q6" s="23">
        <f>'Työaika jäsen 1'!K8+'Työaika jäsen 2'!K8+'Työaika jäsen 3'!K8+'Työaika jäsen 4'!K8</f>
        <v>0</v>
      </c>
      <c r="R6" s="23">
        <f>'Työaika jäsen 1'!L8+'Työaika jäsen 2'!L8+'Työaika jäsen 3'!L8+'Työaika jäsen 4'!L8</f>
        <v>0</v>
      </c>
      <c r="S6" s="19">
        <f t="shared" ref="S6:S20" si="1">SUM(I6:R6)</f>
        <v>4</v>
      </c>
    </row>
    <row r="7" spans="1:26" ht="14.25" customHeight="1" x14ac:dyDescent="0.3">
      <c r="A7" s="51">
        <v>45958</v>
      </c>
      <c r="B7" s="23">
        <f>'Työaika jäsen 1'!B9</f>
        <v>5</v>
      </c>
      <c r="C7" s="23">
        <f>'Työaika jäsen 2'!B9</f>
        <v>0</v>
      </c>
      <c r="D7" s="23">
        <f>'Työaika jäsen 3'!B9</f>
        <v>0</v>
      </c>
      <c r="E7" s="23">
        <f>'Työaika jäsen 4'!B9</f>
        <v>0</v>
      </c>
      <c r="F7" s="23">
        <f t="shared" si="0"/>
        <v>5</v>
      </c>
      <c r="H7" s="51">
        <v>45958</v>
      </c>
      <c r="I7" s="23">
        <f>'Työaika jäsen 1'!C9+'Työaika jäsen 2'!C9+'Työaika jäsen 3'!C9+'Työaika jäsen 4'!C9</f>
        <v>0</v>
      </c>
      <c r="J7" s="23">
        <f>'Työaika jäsen 1'!D9+'Työaika jäsen 2'!D9+'Työaika jäsen 3'!D9+'Työaika jäsen 4'!D9</f>
        <v>0</v>
      </c>
      <c r="K7" s="23">
        <f>'Työaika jäsen 1'!E9+'Työaika jäsen 2'!E9+'Työaika jäsen 3'!E9+'Työaika jäsen 4'!E9</f>
        <v>0</v>
      </c>
      <c r="L7" s="23">
        <f>'Työaika jäsen 1'!F9+'Työaika jäsen 2'!F9+'Työaika jäsen 3'!F9+'Työaika jäsen 4'!F9</f>
        <v>1</v>
      </c>
      <c r="M7" s="23">
        <f>'Työaika jäsen 1'!G9+'Työaika jäsen 2'!G9+'Työaika jäsen 3'!G9+'Työaika jäsen 4'!G9</f>
        <v>2</v>
      </c>
      <c r="N7" s="23">
        <f>'Työaika jäsen 1'!H9+'Työaika jäsen 2'!H9+'Työaika jäsen 3'!H9+'Työaika jäsen 4'!H9</f>
        <v>1</v>
      </c>
      <c r="O7" s="23">
        <f>'Työaika jäsen 1'!I9+'Työaika jäsen 2'!I9+'Työaika jäsen 3'!I9+'Työaika jäsen 4'!I9</f>
        <v>1</v>
      </c>
      <c r="P7" s="23">
        <f>'Työaika jäsen 1'!J9+'Työaika jäsen 2'!J9+'Työaika jäsen 3'!J9+'Työaika jäsen 4'!J9</f>
        <v>0</v>
      </c>
      <c r="Q7" s="23">
        <f>'Työaika jäsen 1'!K9+'Työaika jäsen 2'!K9+'Työaika jäsen 3'!K9+'Työaika jäsen 4'!K9</f>
        <v>0</v>
      </c>
      <c r="R7" s="23">
        <f>'Työaika jäsen 1'!L9+'Työaika jäsen 2'!L9+'Työaika jäsen 3'!L9+'Työaika jäsen 4'!L9</f>
        <v>0</v>
      </c>
      <c r="S7" s="19">
        <f t="shared" si="1"/>
        <v>5</v>
      </c>
    </row>
    <row r="8" spans="1:26" ht="14.25" customHeight="1" x14ac:dyDescent="0.3">
      <c r="A8" s="51">
        <v>45959</v>
      </c>
      <c r="B8" s="23">
        <f>'Työaika jäsen 1'!B10</f>
        <v>3</v>
      </c>
      <c r="C8" s="23">
        <f>'Työaika jäsen 2'!B10</f>
        <v>0</v>
      </c>
      <c r="D8" s="23">
        <f>'Työaika jäsen 3'!B10</f>
        <v>0</v>
      </c>
      <c r="E8" s="23">
        <f>'Työaika jäsen 4'!B10</f>
        <v>0</v>
      </c>
      <c r="F8" s="23">
        <f t="shared" si="0"/>
        <v>3</v>
      </c>
      <c r="H8" s="51">
        <v>45959</v>
      </c>
      <c r="I8" s="23">
        <f>'Työaika jäsen 1'!C10+'Työaika jäsen 2'!C10+'Työaika jäsen 3'!C10+'Työaika jäsen 4'!C10</f>
        <v>0</v>
      </c>
      <c r="J8" s="23">
        <f>'Työaika jäsen 1'!D10+'Työaika jäsen 2'!D10+'Työaika jäsen 3'!D10+'Työaika jäsen 4'!D10</f>
        <v>0</v>
      </c>
      <c r="K8" s="23">
        <f>'Työaika jäsen 1'!E10+'Työaika jäsen 2'!E10+'Työaika jäsen 3'!E10+'Työaika jäsen 4'!E10</f>
        <v>0</v>
      </c>
      <c r="L8" s="23">
        <f>'Työaika jäsen 1'!F10+'Työaika jäsen 2'!F10+'Työaika jäsen 3'!F10+'Työaika jäsen 4'!F10</f>
        <v>0</v>
      </c>
      <c r="M8" s="23">
        <f>'Työaika jäsen 1'!G10+'Työaika jäsen 2'!G10+'Työaika jäsen 3'!G10+'Työaika jäsen 4'!G10</f>
        <v>0</v>
      </c>
      <c r="N8" s="23">
        <f>'Työaika jäsen 1'!H10+'Työaika jäsen 2'!H10+'Työaika jäsen 3'!H10+'Työaika jäsen 4'!H10</f>
        <v>0</v>
      </c>
      <c r="O8" s="23">
        <f>'Työaika jäsen 1'!I10+'Työaika jäsen 2'!I10+'Työaika jäsen 3'!I10+'Työaika jäsen 4'!I10</f>
        <v>0</v>
      </c>
      <c r="P8" s="23">
        <f>'Työaika jäsen 1'!J10+'Työaika jäsen 2'!J10+'Työaika jäsen 3'!J10+'Työaika jäsen 4'!J10</f>
        <v>1</v>
      </c>
      <c r="Q8" s="23">
        <f>'Työaika jäsen 1'!K10+'Työaika jäsen 2'!K10+'Työaika jäsen 3'!K10+'Työaika jäsen 4'!K10</f>
        <v>2</v>
      </c>
      <c r="R8" s="23">
        <f>'Työaika jäsen 1'!L10+'Työaika jäsen 2'!L10+'Työaika jäsen 3'!L10+'Työaika jäsen 4'!L10</f>
        <v>0</v>
      </c>
      <c r="S8" s="19">
        <f t="shared" si="1"/>
        <v>3</v>
      </c>
    </row>
    <row r="9" spans="1:26" ht="14.25" customHeight="1" x14ac:dyDescent="0.3">
      <c r="A9" s="51">
        <v>45960</v>
      </c>
      <c r="B9" s="23">
        <f>'Työaika jäsen 1'!B11</f>
        <v>7</v>
      </c>
      <c r="C9" s="23">
        <f>'Työaika jäsen 2'!B11</f>
        <v>0</v>
      </c>
      <c r="D9" s="23">
        <f>'Työaika jäsen 3'!B11</f>
        <v>0</v>
      </c>
      <c r="E9" s="23">
        <f>'Työaika jäsen 4'!B11</f>
        <v>0</v>
      </c>
      <c r="F9" s="23">
        <f t="shared" si="0"/>
        <v>7</v>
      </c>
      <c r="H9" s="51">
        <v>45960</v>
      </c>
      <c r="I9" s="23">
        <f>'Työaika jäsen 1'!C11+'Työaika jäsen 2'!C11+'Työaika jäsen 3'!C11+'Työaika jäsen 4'!C11</f>
        <v>0</v>
      </c>
      <c r="J9" s="23">
        <f>'Työaika jäsen 1'!D11+'Työaika jäsen 2'!D11+'Työaika jäsen 3'!D11+'Työaika jäsen 4'!D11</f>
        <v>0</v>
      </c>
      <c r="K9" s="23">
        <f>'Työaika jäsen 1'!E11+'Työaika jäsen 2'!E11+'Työaika jäsen 3'!E11+'Työaika jäsen 4'!E11</f>
        <v>0</v>
      </c>
      <c r="L9" s="23">
        <f>'Työaika jäsen 1'!F11+'Työaika jäsen 2'!F11+'Työaika jäsen 3'!F11+'Työaika jäsen 4'!F11</f>
        <v>0</v>
      </c>
      <c r="M9" s="23">
        <f>'Työaika jäsen 1'!G11+'Työaika jäsen 2'!G11+'Työaika jäsen 3'!G11+'Työaika jäsen 4'!G11</f>
        <v>1</v>
      </c>
      <c r="N9" s="23">
        <f>'Työaika jäsen 1'!H11+'Työaika jäsen 2'!H11+'Työaika jäsen 3'!H11+'Työaika jäsen 4'!H11</f>
        <v>1</v>
      </c>
      <c r="O9" s="23">
        <f>'Työaika jäsen 1'!I11+'Työaika jäsen 2'!I11+'Työaika jäsen 3'!I11+'Työaika jäsen 4'!I11</f>
        <v>1</v>
      </c>
      <c r="P9" s="23">
        <f>'Työaika jäsen 1'!J11+'Työaika jäsen 2'!J11+'Työaika jäsen 3'!J11+'Työaika jäsen 4'!J11</f>
        <v>1</v>
      </c>
      <c r="Q9" s="23">
        <f>'Työaika jäsen 1'!K11+'Työaika jäsen 2'!K11+'Työaika jäsen 3'!K11+'Työaika jäsen 4'!K11</f>
        <v>0</v>
      </c>
      <c r="R9" s="23">
        <f>'Työaika jäsen 1'!L11+'Työaika jäsen 2'!L11+'Työaika jäsen 3'!L11+'Työaika jäsen 4'!L11</f>
        <v>3</v>
      </c>
      <c r="S9" s="19">
        <f t="shared" si="1"/>
        <v>7</v>
      </c>
    </row>
    <row r="10" spans="1:26" ht="14.25" customHeight="1" x14ac:dyDescent="0.3">
      <c r="A10" s="51">
        <v>45961</v>
      </c>
      <c r="B10" s="23">
        <f>'Työaika jäsen 1'!B12</f>
        <v>0</v>
      </c>
      <c r="C10" s="23">
        <f>'Työaika jäsen 2'!B12</f>
        <v>0</v>
      </c>
      <c r="D10" s="23">
        <f>'Työaika jäsen 3'!B12</f>
        <v>0</v>
      </c>
      <c r="E10" s="23">
        <f>'Työaika jäsen 4'!B12</f>
        <v>0</v>
      </c>
      <c r="F10" s="23">
        <f t="shared" si="0"/>
        <v>0</v>
      </c>
      <c r="H10" s="51">
        <v>45961</v>
      </c>
      <c r="I10" s="23">
        <f>'Työaika jäsen 1'!C12+'Työaika jäsen 2'!C12+'Työaika jäsen 3'!C12+'Työaika jäsen 4'!C12</f>
        <v>0</v>
      </c>
      <c r="J10" s="23">
        <f>'Työaika jäsen 1'!D12+'Työaika jäsen 2'!D12+'Työaika jäsen 3'!D12+'Työaika jäsen 4'!D12</f>
        <v>0</v>
      </c>
      <c r="K10" s="23">
        <f>'Työaika jäsen 1'!E12+'Työaika jäsen 2'!E12+'Työaika jäsen 3'!E12+'Työaika jäsen 4'!E12</f>
        <v>0</v>
      </c>
      <c r="L10" s="23">
        <f>'Työaika jäsen 1'!F12+'Työaika jäsen 2'!F12+'Työaika jäsen 3'!F12+'Työaika jäsen 4'!F12</f>
        <v>0</v>
      </c>
      <c r="M10" s="23">
        <f>'Työaika jäsen 1'!G12+'Työaika jäsen 2'!G12+'Työaika jäsen 3'!G12+'Työaika jäsen 4'!G12</f>
        <v>0</v>
      </c>
      <c r="N10" s="23">
        <f>'Työaika jäsen 1'!H12+'Työaika jäsen 2'!H12+'Työaika jäsen 3'!H12+'Työaika jäsen 4'!H12</f>
        <v>0</v>
      </c>
      <c r="O10" s="23">
        <f>'Työaika jäsen 1'!I12+'Työaika jäsen 2'!I12+'Työaika jäsen 3'!I12+'Työaika jäsen 4'!I12</f>
        <v>0</v>
      </c>
      <c r="P10" s="23">
        <f>'Työaika jäsen 1'!J12+'Työaika jäsen 2'!J12+'Työaika jäsen 3'!J12+'Työaika jäsen 4'!J12</f>
        <v>0</v>
      </c>
      <c r="Q10" s="23">
        <f>'Työaika jäsen 1'!K12+'Työaika jäsen 2'!K12+'Työaika jäsen 3'!K12+'Työaika jäsen 4'!K12</f>
        <v>0</v>
      </c>
      <c r="R10" s="23">
        <f>'Työaika jäsen 1'!L12+'Työaika jäsen 2'!L12+'Työaika jäsen 3'!L12+'Työaika jäsen 4'!L12</f>
        <v>0</v>
      </c>
      <c r="S10" s="19">
        <f t="shared" si="1"/>
        <v>0</v>
      </c>
    </row>
    <row r="11" spans="1:26" ht="14.25" customHeight="1" x14ac:dyDescent="0.3">
      <c r="A11" s="51">
        <v>45962</v>
      </c>
      <c r="B11" s="23">
        <f>'Työaika jäsen 1'!B13</f>
        <v>0</v>
      </c>
      <c r="C11" s="23">
        <f>'Työaika jäsen 2'!B13</f>
        <v>0</v>
      </c>
      <c r="D11" s="23">
        <f>'Työaika jäsen 3'!B13</f>
        <v>0</v>
      </c>
      <c r="E11" s="23">
        <f>'Työaika jäsen 4'!B13</f>
        <v>0</v>
      </c>
      <c r="F11" s="23">
        <f t="shared" si="0"/>
        <v>0</v>
      </c>
      <c r="H11" s="51">
        <v>45962</v>
      </c>
      <c r="I11" s="23">
        <f>'Työaika jäsen 1'!C13+'Työaika jäsen 2'!C13+'Työaika jäsen 3'!C13+'Työaika jäsen 4'!C13</f>
        <v>0</v>
      </c>
      <c r="J11" s="23">
        <f>'Työaika jäsen 1'!D13+'Työaika jäsen 2'!D13+'Työaika jäsen 3'!D13+'Työaika jäsen 4'!D13</f>
        <v>0</v>
      </c>
      <c r="K11" s="23">
        <f>'Työaika jäsen 1'!E13+'Työaika jäsen 2'!E13+'Työaika jäsen 3'!E13+'Työaika jäsen 4'!E13</f>
        <v>0</v>
      </c>
      <c r="L11" s="23">
        <f>'Työaika jäsen 1'!F13+'Työaika jäsen 2'!F13+'Työaika jäsen 3'!F13+'Työaika jäsen 4'!F13</f>
        <v>0</v>
      </c>
      <c r="M11" s="23">
        <f>'Työaika jäsen 1'!G13+'Työaika jäsen 2'!G13+'Työaika jäsen 3'!G13+'Työaika jäsen 4'!G13</f>
        <v>0</v>
      </c>
      <c r="N11" s="23">
        <f>'Työaika jäsen 1'!H13+'Työaika jäsen 2'!H13+'Työaika jäsen 3'!H13+'Työaika jäsen 4'!H13</f>
        <v>0</v>
      </c>
      <c r="O11" s="23">
        <f>'Työaika jäsen 1'!I13+'Työaika jäsen 2'!I13+'Työaika jäsen 3'!I13+'Työaika jäsen 4'!I13</f>
        <v>0</v>
      </c>
      <c r="P11" s="23">
        <f>'Työaika jäsen 1'!J13+'Työaika jäsen 2'!J13+'Työaika jäsen 3'!J13+'Työaika jäsen 4'!J13</f>
        <v>0</v>
      </c>
      <c r="Q11" s="23">
        <f>'Työaika jäsen 1'!K13+'Työaika jäsen 2'!K13+'Työaika jäsen 3'!K13+'Työaika jäsen 4'!K13</f>
        <v>0</v>
      </c>
      <c r="R11" s="23">
        <f>'Työaika jäsen 1'!L13+'Työaika jäsen 2'!L13+'Työaika jäsen 3'!L13+'Työaika jäsen 4'!L13</f>
        <v>0</v>
      </c>
      <c r="S11" s="19">
        <f t="shared" si="1"/>
        <v>0</v>
      </c>
    </row>
    <row r="12" spans="1:26" ht="14.25" customHeight="1" x14ac:dyDescent="0.3">
      <c r="A12" s="51">
        <v>45963</v>
      </c>
      <c r="B12" s="23">
        <f>'Työaika jäsen 1'!B14</f>
        <v>0</v>
      </c>
      <c r="C12" s="23">
        <f>'Työaika jäsen 2'!B14</f>
        <v>0</v>
      </c>
      <c r="D12" s="23">
        <f>'Työaika jäsen 3'!B14</f>
        <v>0</v>
      </c>
      <c r="E12" s="23">
        <f>'Työaika jäsen 4'!B14</f>
        <v>0</v>
      </c>
      <c r="F12" s="23">
        <f t="shared" si="0"/>
        <v>0</v>
      </c>
      <c r="H12" s="51">
        <v>45963</v>
      </c>
      <c r="I12" s="23">
        <f>'Työaika jäsen 1'!C14+'Työaika jäsen 2'!C14+'Työaika jäsen 3'!C14+'Työaika jäsen 4'!C14</f>
        <v>0</v>
      </c>
      <c r="J12" s="23">
        <f>'Työaika jäsen 1'!D14+'Työaika jäsen 2'!D14+'Työaika jäsen 3'!D14+'Työaika jäsen 4'!D14</f>
        <v>0</v>
      </c>
      <c r="K12" s="23">
        <f>'Työaika jäsen 1'!E14+'Työaika jäsen 2'!E14+'Työaika jäsen 3'!E14+'Työaika jäsen 4'!E14</f>
        <v>0</v>
      </c>
      <c r="L12" s="23">
        <f>'Työaika jäsen 1'!F14+'Työaika jäsen 2'!F14+'Työaika jäsen 3'!F14+'Työaika jäsen 4'!F14</f>
        <v>0</v>
      </c>
      <c r="M12" s="23">
        <f>'Työaika jäsen 1'!G14+'Työaika jäsen 2'!G14+'Työaika jäsen 3'!G14+'Työaika jäsen 4'!G14</f>
        <v>0</v>
      </c>
      <c r="N12" s="23">
        <f>'Työaika jäsen 1'!H14+'Työaika jäsen 2'!H14+'Työaika jäsen 3'!H14+'Työaika jäsen 4'!H14</f>
        <v>0</v>
      </c>
      <c r="O12" s="23">
        <f>'Työaika jäsen 1'!I14+'Työaika jäsen 2'!I14+'Työaika jäsen 3'!I14+'Työaika jäsen 4'!I14</f>
        <v>0</v>
      </c>
      <c r="P12" s="23">
        <f>'Työaika jäsen 1'!J14+'Työaika jäsen 2'!J14+'Työaika jäsen 3'!J14+'Työaika jäsen 4'!J14</f>
        <v>0</v>
      </c>
      <c r="Q12" s="23">
        <f>'Työaika jäsen 1'!K14+'Työaika jäsen 2'!K14+'Työaika jäsen 3'!K14+'Työaika jäsen 4'!K14</f>
        <v>0</v>
      </c>
      <c r="R12" s="23">
        <f>'Työaika jäsen 1'!L14+'Työaika jäsen 2'!L14+'Työaika jäsen 3'!L14+'Työaika jäsen 4'!L14</f>
        <v>0</v>
      </c>
      <c r="S12" s="19">
        <f t="shared" si="1"/>
        <v>0</v>
      </c>
    </row>
    <row r="13" spans="1:26" ht="14.25" customHeight="1" x14ac:dyDescent="0.3">
      <c r="A13" s="51">
        <v>45964</v>
      </c>
      <c r="B13" s="23">
        <f>'Työaika jäsen 1'!B15</f>
        <v>0</v>
      </c>
      <c r="C13" s="23">
        <f>'Työaika jäsen 2'!B15</f>
        <v>0</v>
      </c>
      <c r="D13" s="23">
        <f>'Työaika jäsen 3'!B15</f>
        <v>0</v>
      </c>
      <c r="E13" s="23">
        <f>'Työaika jäsen 4'!B15</f>
        <v>0</v>
      </c>
      <c r="F13" s="23">
        <f t="shared" si="0"/>
        <v>0</v>
      </c>
      <c r="H13" s="51">
        <v>45964</v>
      </c>
      <c r="I13" s="23">
        <f>'Työaika jäsen 1'!C15+'Työaika jäsen 2'!C15+'Työaika jäsen 3'!C15+'Työaika jäsen 4'!C15</f>
        <v>0</v>
      </c>
      <c r="J13" s="23">
        <f>'Työaika jäsen 1'!D15+'Työaika jäsen 2'!D15+'Työaika jäsen 3'!D15+'Työaika jäsen 4'!D15</f>
        <v>0</v>
      </c>
      <c r="K13" s="23">
        <f>'Työaika jäsen 1'!E15+'Työaika jäsen 2'!E15+'Työaika jäsen 3'!E15+'Työaika jäsen 4'!E15</f>
        <v>0</v>
      </c>
      <c r="L13" s="23">
        <f>'Työaika jäsen 1'!F15+'Työaika jäsen 2'!F15+'Työaika jäsen 3'!F15+'Työaika jäsen 4'!F15</f>
        <v>0</v>
      </c>
      <c r="M13" s="23">
        <f>'Työaika jäsen 1'!G15+'Työaika jäsen 2'!G15+'Työaika jäsen 3'!G15+'Työaika jäsen 4'!G15</f>
        <v>0</v>
      </c>
      <c r="N13" s="23">
        <f>'Työaika jäsen 1'!H15+'Työaika jäsen 2'!H15+'Työaika jäsen 3'!H15+'Työaika jäsen 4'!H15</f>
        <v>0</v>
      </c>
      <c r="O13" s="23">
        <f>'Työaika jäsen 1'!I15+'Työaika jäsen 2'!I15+'Työaika jäsen 3'!I15+'Työaika jäsen 4'!I15</f>
        <v>0</v>
      </c>
      <c r="P13" s="23">
        <f>'Työaika jäsen 1'!J15+'Työaika jäsen 2'!J15+'Työaika jäsen 3'!J15+'Työaika jäsen 4'!J15</f>
        <v>0</v>
      </c>
      <c r="Q13" s="23">
        <f>'Työaika jäsen 1'!K15+'Työaika jäsen 2'!K15+'Työaika jäsen 3'!K15+'Työaika jäsen 4'!K15</f>
        <v>0</v>
      </c>
      <c r="R13" s="23">
        <f>'Työaika jäsen 1'!L15+'Työaika jäsen 2'!L15+'Työaika jäsen 3'!L15+'Työaika jäsen 4'!L15</f>
        <v>0</v>
      </c>
      <c r="S13" s="19">
        <f t="shared" si="1"/>
        <v>0</v>
      </c>
    </row>
    <row r="14" spans="1:26" ht="14.25" customHeight="1" x14ac:dyDescent="0.3">
      <c r="A14" s="51">
        <v>45965</v>
      </c>
      <c r="B14" s="23">
        <f>'Työaika jäsen 1'!B16</f>
        <v>0</v>
      </c>
      <c r="C14" s="23">
        <f>'Työaika jäsen 2'!B16</f>
        <v>0</v>
      </c>
      <c r="D14" s="23">
        <f>'Työaika jäsen 3'!B16</f>
        <v>0</v>
      </c>
      <c r="E14" s="23">
        <f>'Työaika jäsen 4'!B16</f>
        <v>0</v>
      </c>
      <c r="F14" s="23">
        <f t="shared" si="0"/>
        <v>0</v>
      </c>
      <c r="H14" s="51">
        <v>45965</v>
      </c>
      <c r="I14" s="23">
        <f>'Työaika jäsen 1'!C16+'Työaika jäsen 2'!C16+'Työaika jäsen 3'!C16+'Työaika jäsen 4'!C16</f>
        <v>0</v>
      </c>
      <c r="J14" s="23">
        <f>'Työaika jäsen 1'!D16+'Työaika jäsen 2'!D16+'Työaika jäsen 3'!D16+'Työaika jäsen 4'!D16</f>
        <v>0</v>
      </c>
      <c r="K14" s="23">
        <f>'Työaika jäsen 1'!E16+'Työaika jäsen 2'!E16+'Työaika jäsen 3'!E16+'Työaika jäsen 4'!E16</f>
        <v>0</v>
      </c>
      <c r="L14" s="23">
        <f>'Työaika jäsen 1'!F16+'Työaika jäsen 2'!F16+'Työaika jäsen 3'!F16+'Työaika jäsen 4'!F16</f>
        <v>0</v>
      </c>
      <c r="M14" s="23">
        <f>'Työaika jäsen 1'!G16+'Työaika jäsen 2'!G16+'Työaika jäsen 3'!G16+'Työaika jäsen 4'!G16</f>
        <v>0</v>
      </c>
      <c r="N14" s="23">
        <f>'Työaika jäsen 1'!H16+'Työaika jäsen 2'!H16+'Työaika jäsen 3'!H16+'Työaika jäsen 4'!H16</f>
        <v>0</v>
      </c>
      <c r="O14" s="23">
        <f>'Työaika jäsen 1'!I16+'Työaika jäsen 2'!I16+'Työaika jäsen 3'!I16+'Työaika jäsen 4'!I16</f>
        <v>0</v>
      </c>
      <c r="P14" s="23">
        <f>'Työaika jäsen 1'!J16+'Työaika jäsen 2'!J16+'Työaika jäsen 3'!J16+'Työaika jäsen 4'!J16</f>
        <v>0</v>
      </c>
      <c r="Q14" s="23">
        <f>'Työaika jäsen 1'!K16+'Työaika jäsen 2'!K16+'Työaika jäsen 3'!K16+'Työaika jäsen 4'!K16</f>
        <v>0</v>
      </c>
      <c r="R14" s="23">
        <f>'Työaika jäsen 1'!L16+'Työaika jäsen 2'!L16+'Työaika jäsen 3'!L16+'Työaika jäsen 4'!L16</f>
        <v>0</v>
      </c>
      <c r="S14" s="19">
        <f t="shared" si="1"/>
        <v>0</v>
      </c>
    </row>
    <row r="15" spans="1:26" ht="14.25" customHeight="1" x14ac:dyDescent="0.3">
      <c r="A15" s="51">
        <v>45966</v>
      </c>
      <c r="B15" s="23">
        <f>'Työaika jäsen 1'!B17</f>
        <v>0</v>
      </c>
      <c r="C15" s="23">
        <f>'Työaika jäsen 2'!B17</f>
        <v>0</v>
      </c>
      <c r="D15" s="23">
        <f>'Työaika jäsen 3'!B17</f>
        <v>0</v>
      </c>
      <c r="E15" s="23">
        <f>'Työaika jäsen 4'!B17</f>
        <v>0</v>
      </c>
      <c r="F15" s="23">
        <f t="shared" si="0"/>
        <v>0</v>
      </c>
      <c r="H15" s="51">
        <v>45966</v>
      </c>
      <c r="I15" s="23">
        <f>'Työaika jäsen 1'!C17+'Työaika jäsen 2'!C17+'Työaika jäsen 3'!C17+'Työaika jäsen 4'!C17</f>
        <v>0</v>
      </c>
      <c r="J15" s="23">
        <f>'Työaika jäsen 1'!D17+'Työaika jäsen 2'!D17+'Työaika jäsen 3'!D17+'Työaika jäsen 4'!D17</f>
        <v>0</v>
      </c>
      <c r="K15" s="23">
        <f>'Työaika jäsen 1'!E17+'Työaika jäsen 2'!E17+'Työaika jäsen 3'!E17+'Työaika jäsen 4'!E17</f>
        <v>0</v>
      </c>
      <c r="L15" s="23">
        <f>'Työaika jäsen 1'!F17+'Työaika jäsen 2'!F17+'Työaika jäsen 3'!F17+'Työaika jäsen 4'!F17</f>
        <v>0</v>
      </c>
      <c r="M15" s="23">
        <f>'Työaika jäsen 1'!G17+'Työaika jäsen 2'!G17+'Työaika jäsen 3'!G17+'Työaika jäsen 4'!G17</f>
        <v>0</v>
      </c>
      <c r="N15" s="23">
        <f>'Työaika jäsen 1'!H17+'Työaika jäsen 2'!H17+'Työaika jäsen 3'!H17+'Työaika jäsen 4'!H17</f>
        <v>0</v>
      </c>
      <c r="O15" s="23">
        <f>'Työaika jäsen 1'!I17+'Työaika jäsen 2'!I17+'Työaika jäsen 3'!I17+'Työaika jäsen 4'!I17</f>
        <v>0</v>
      </c>
      <c r="P15" s="23">
        <f>'Työaika jäsen 1'!J17+'Työaika jäsen 2'!J17+'Työaika jäsen 3'!J17+'Työaika jäsen 4'!J17</f>
        <v>0</v>
      </c>
      <c r="Q15" s="23">
        <f>'Työaika jäsen 1'!K17+'Työaika jäsen 2'!K17+'Työaika jäsen 3'!K17+'Työaika jäsen 4'!K17</f>
        <v>0</v>
      </c>
      <c r="R15" s="23">
        <f>'Työaika jäsen 1'!L17+'Työaika jäsen 2'!L17+'Työaika jäsen 3'!L17+'Työaika jäsen 4'!L17</f>
        <v>0</v>
      </c>
      <c r="S15" s="19">
        <f t="shared" si="1"/>
        <v>0</v>
      </c>
    </row>
    <row r="16" spans="1:26" ht="14.25" customHeight="1" x14ac:dyDescent="0.3">
      <c r="A16" s="51">
        <v>45967</v>
      </c>
      <c r="B16" s="23">
        <f>'Työaika jäsen 1'!B18</f>
        <v>0</v>
      </c>
      <c r="C16" s="23">
        <f>'Työaika jäsen 2'!B18</f>
        <v>0</v>
      </c>
      <c r="D16" s="23">
        <f>'Työaika jäsen 3'!B18</f>
        <v>0</v>
      </c>
      <c r="E16" s="23">
        <f>'Työaika jäsen 4'!B18</f>
        <v>0</v>
      </c>
      <c r="F16" s="23">
        <f t="shared" si="0"/>
        <v>0</v>
      </c>
      <c r="H16" s="51">
        <v>45967</v>
      </c>
      <c r="I16" s="23">
        <f>'Työaika jäsen 1'!C18+'Työaika jäsen 2'!C18+'Työaika jäsen 3'!C18+'Työaika jäsen 4'!C18</f>
        <v>0</v>
      </c>
      <c r="J16" s="23">
        <f>'Työaika jäsen 1'!D18+'Työaika jäsen 2'!D18+'Työaika jäsen 3'!D18+'Työaika jäsen 4'!D18</f>
        <v>0</v>
      </c>
      <c r="K16" s="23">
        <f>'Työaika jäsen 1'!E18+'Työaika jäsen 2'!E18+'Työaika jäsen 3'!E18+'Työaika jäsen 4'!E18</f>
        <v>0</v>
      </c>
      <c r="L16" s="23">
        <f>'Työaika jäsen 1'!F18+'Työaika jäsen 2'!F18+'Työaika jäsen 3'!F18+'Työaika jäsen 4'!F18</f>
        <v>0</v>
      </c>
      <c r="M16" s="23">
        <f>'Työaika jäsen 1'!G18+'Työaika jäsen 2'!G18+'Työaika jäsen 3'!G18+'Työaika jäsen 4'!G18</f>
        <v>0</v>
      </c>
      <c r="N16" s="23">
        <f>'Työaika jäsen 1'!H18+'Työaika jäsen 2'!H18+'Työaika jäsen 3'!H18+'Työaika jäsen 4'!H18</f>
        <v>0</v>
      </c>
      <c r="O16" s="23">
        <f>'Työaika jäsen 1'!I18+'Työaika jäsen 2'!I18+'Työaika jäsen 3'!I18+'Työaika jäsen 4'!I18</f>
        <v>0</v>
      </c>
      <c r="P16" s="23">
        <f>'Työaika jäsen 1'!J18+'Työaika jäsen 2'!J18+'Työaika jäsen 3'!J18+'Työaika jäsen 4'!J18</f>
        <v>0</v>
      </c>
      <c r="Q16" s="23">
        <f>'Työaika jäsen 1'!K18+'Työaika jäsen 2'!K18+'Työaika jäsen 3'!K18+'Työaika jäsen 4'!K18</f>
        <v>0</v>
      </c>
      <c r="R16" s="23">
        <f>'Työaika jäsen 1'!L18+'Työaika jäsen 2'!L18+'Työaika jäsen 3'!L18+'Työaika jäsen 4'!L18</f>
        <v>0</v>
      </c>
      <c r="S16" s="19">
        <f t="shared" si="1"/>
        <v>0</v>
      </c>
    </row>
    <row r="17" spans="1:26" ht="14.25" customHeight="1" x14ac:dyDescent="0.3">
      <c r="A17" s="51">
        <v>45968</v>
      </c>
      <c r="B17" s="23">
        <f>'Työaika jäsen 1'!B19</f>
        <v>0</v>
      </c>
      <c r="C17" s="23">
        <f>'Työaika jäsen 2'!B19</f>
        <v>0</v>
      </c>
      <c r="D17" s="23">
        <f>'Työaika jäsen 3'!B19</f>
        <v>0</v>
      </c>
      <c r="E17" s="23">
        <f>'Työaika jäsen 4'!B19</f>
        <v>0</v>
      </c>
      <c r="F17" s="23">
        <f t="shared" si="0"/>
        <v>0</v>
      </c>
      <c r="H17" s="51">
        <v>45968</v>
      </c>
      <c r="I17" s="23">
        <f>'Työaika jäsen 1'!C19+'Työaika jäsen 2'!C19+'Työaika jäsen 3'!C19+'Työaika jäsen 4'!C19</f>
        <v>0</v>
      </c>
      <c r="J17" s="23">
        <f>'Työaika jäsen 1'!D19+'Työaika jäsen 2'!D19+'Työaika jäsen 3'!D19+'Työaika jäsen 4'!D19</f>
        <v>0</v>
      </c>
      <c r="K17" s="23">
        <f>'Työaika jäsen 1'!E19+'Työaika jäsen 2'!E19+'Työaika jäsen 3'!E19+'Työaika jäsen 4'!E19</f>
        <v>0</v>
      </c>
      <c r="L17" s="23">
        <f>'Työaika jäsen 1'!F19+'Työaika jäsen 2'!F19+'Työaika jäsen 3'!F19+'Työaika jäsen 4'!F19</f>
        <v>0</v>
      </c>
      <c r="M17" s="23">
        <f>'Työaika jäsen 1'!G19+'Työaika jäsen 2'!G19+'Työaika jäsen 3'!G19+'Työaika jäsen 4'!G19</f>
        <v>0</v>
      </c>
      <c r="N17" s="23">
        <f>'Työaika jäsen 1'!H19+'Työaika jäsen 2'!H19+'Työaika jäsen 3'!H19+'Työaika jäsen 4'!H19</f>
        <v>0</v>
      </c>
      <c r="O17" s="23">
        <f>'Työaika jäsen 1'!I19+'Työaika jäsen 2'!I19+'Työaika jäsen 3'!I19+'Työaika jäsen 4'!I19</f>
        <v>0</v>
      </c>
      <c r="P17" s="23">
        <f>'Työaika jäsen 1'!J19+'Työaika jäsen 2'!J19+'Työaika jäsen 3'!J19+'Työaika jäsen 4'!J19</f>
        <v>0</v>
      </c>
      <c r="Q17" s="23">
        <f>'Työaika jäsen 1'!K19+'Työaika jäsen 2'!K19+'Työaika jäsen 3'!K19+'Työaika jäsen 4'!K19</f>
        <v>0</v>
      </c>
      <c r="R17" s="23">
        <f>'Työaika jäsen 1'!L19+'Työaika jäsen 2'!L19+'Työaika jäsen 3'!L19+'Työaika jäsen 4'!L19</f>
        <v>0</v>
      </c>
      <c r="S17" s="19">
        <f t="shared" si="1"/>
        <v>0</v>
      </c>
    </row>
    <row r="18" spans="1:26" ht="14.25" customHeight="1" x14ac:dyDescent="0.3">
      <c r="A18" s="51">
        <v>45969</v>
      </c>
      <c r="B18" s="23">
        <f>'Työaika jäsen 1'!B20</f>
        <v>0</v>
      </c>
      <c r="C18" s="23">
        <f>'Työaika jäsen 2'!B20</f>
        <v>0</v>
      </c>
      <c r="D18" s="23">
        <f>'Työaika jäsen 3'!B20</f>
        <v>0</v>
      </c>
      <c r="E18" s="23">
        <f>'Työaika jäsen 4'!B20</f>
        <v>0</v>
      </c>
      <c r="F18" s="23">
        <f t="shared" si="0"/>
        <v>0</v>
      </c>
      <c r="H18" s="51">
        <v>45969</v>
      </c>
      <c r="I18" s="23">
        <f>'Työaika jäsen 1'!C20+'Työaika jäsen 2'!C20+'Työaika jäsen 3'!C20+'Työaika jäsen 4'!C20</f>
        <v>0</v>
      </c>
      <c r="J18" s="23">
        <f>'Työaika jäsen 1'!D20+'Työaika jäsen 2'!D20+'Työaika jäsen 3'!D20+'Työaika jäsen 4'!D20</f>
        <v>0</v>
      </c>
      <c r="K18" s="23">
        <f>'Työaika jäsen 1'!E20+'Työaika jäsen 2'!E20+'Työaika jäsen 3'!E20+'Työaika jäsen 4'!E20</f>
        <v>0</v>
      </c>
      <c r="L18" s="23">
        <f>'Työaika jäsen 1'!F20+'Työaika jäsen 2'!F20+'Työaika jäsen 3'!F20+'Työaika jäsen 4'!F20</f>
        <v>0</v>
      </c>
      <c r="M18" s="23">
        <f>'Työaika jäsen 1'!G20+'Työaika jäsen 2'!G20+'Työaika jäsen 3'!G20+'Työaika jäsen 4'!G20</f>
        <v>0</v>
      </c>
      <c r="N18" s="23">
        <f>'Työaika jäsen 1'!H20+'Työaika jäsen 2'!H20+'Työaika jäsen 3'!H20+'Työaika jäsen 4'!H20</f>
        <v>0</v>
      </c>
      <c r="O18" s="23">
        <f>'Työaika jäsen 1'!I20+'Työaika jäsen 2'!I20+'Työaika jäsen 3'!I20+'Työaika jäsen 4'!I20</f>
        <v>0</v>
      </c>
      <c r="P18" s="23">
        <f>'Työaika jäsen 1'!J20+'Työaika jäsen 2'!J20+'Työaika jäsen 3'!J20+'Työaika jäsen 4'!J20</f>
        <v>0</v>
      </c>
      <c r="Q18" s="23">
        <f>'Työaika jäsen 1'!K20+'Työaika jäsen 2'!K20+'Työaika jäsen 3'!K20+'Työaika jäsen 4'!K20</f>
        <v>0</v>
      </c>
      <c r="R18" s="23">
        <f>'Työaika jäsen 1'!L20+'Työaika jäsen 2'!L20+'Työaika jäsen 3'!L20+'Työaika jäsen 4'!L20</f>
        <v>0</v>
      </c>
      <c r="S18" s="19">
        <f t="shared" si="1"/>
        <v>0</v>
      </c>
    </row>
    <row r="19" spans="1:26" ht="14.25" customHeight="1" x14ac:dyDescent="0.3">
      <c r="A19" s="51">
        <v>45970</v>
      </c>
      <c r="B19" s="23">
        <f>'Työaika jäsen 1'!B21</f>
        <v>0</v>
      </c>
      <c r="C19" s="23">
        <f>'Työaika jäsen 2'!B21</f>
        <v>0</v>
      </c>
      <c r="D19" s="23">
        <f>'Työaika jäsen 3'!B21</f>
        <v>0</v>
      </c>
      <c r="E19" s="23">
        <f>'Työaika jäsen 4'!B21</f>
        <v>0</v>
      </c>
      <c r="F19" s="23">
        <f t="shared" si="0"/>
        <v>0</v>
      </c>
      <c r="H19" s="51">
        <v>45970</v>
      </c>
      <c r="I19" s="23">
        <f>'Työaika jäsen 1'!C21+'Työaika jäsen 2'!C21+'Työaika jäsen 3'!C21+'Työaika jäsen 4'!C21</f>
        <v>0</v>
      </c>
      <c r="J19" s="23">
        <f>'Työaika jäsen 1'!D21+'Työaika jäsen 2'!D21+'Työaika jäsen 3'!D21+'Työaika jäsen 4'!D21</f>
        <v>0</v>
      </c>
      <c r="K19" s="23">
        <f>'Työaika jäsen 1'!E21+'Työaika jäsen 2'!E21+'Työaika jäsen 3'!E21+'Työaika jäsen 4'!E21</f>
        <v>0</v>
      </c>
      <c r="L19" s="23">
        <f>'Työaika jäsen 1'!F21+'Työaika jäsen 2'!F21+'Työaika jäsen 3'!F21+'Työaika jäsen 4'!F21</f>
        <v>0</v>
      </c>
      <c r="M19" s="23">
        <f>'Työaika jäsen 1'!G21+'Työaika jäsen 2'!G21+'Työaika jäsen 3'!G21+'Työaika jäsen 4'!G21</f>
        <v>0</v>
      </c>
      <c r="N19" s="23">
        <f>'Työaika jäsen 1'!H21+'Työaika jäsen 2'!H21+'Työaika jäsen 3'!H21+'Työaika jäsen 4'!H21</f>
        <v>0</v>
      </c>
      <c r="O19" s="23">
        <f>'Työaika jäsen 1'!I21+'Työaika jäsen 2'!I21+'Työaika jäsen 3'!I21+'Työaika jäsen 4'!I21</f>
        <v>0</v>
      </c>
      <c r="P19" s="23">
        <f>'Työaika jäsen 1'!J21+'Työaika jäsen 2'!J21+'Työaika jäsen 3'!J21+'Työaika jäsen 4'!J21</f>
        <v>0</v>
      </c>
      <c r="Q19" s="23">
        <f>'Työaika jäsen 1'!K21+'Työaika jäsen 2'!K21+'Työaika jäsen 3'!K21+'Työaika jäsen 4'!K21</f>
        <v>0</v>
      </c>
      <c r="R19" s="23">
        <f>'Työaika jäsen 1'!L21+'Työaika jäsen 2'!L21+'Työaika jäsen 3'!L21+'Työaika jäsen 4'!L21</f>
        <v>0</v>
      </c>
      <c r="S19" s="19">
        <f t="shared" si="1"/>
        <v>0</v>
      </c>
    </row>
    <row r="20" spans="1:26" ht="14.25" customHeight="1" x14ac:dyDescent="0.3">
      <c r="A20" s="51">
        <v>45971</v>
      </c>
      <c r="B20" s="23">
        <f>'Työaika jäsen 1'!B22</f>
        <v>0</v>
      </c>
      <c r="C20" s="23">
        <f>'Työaika jäsen 2'!B22</f>
        <v>0</v>
      </c>
      <c r="D20" s="23">
        <f>'Työaika jäsen 3'!B22</f>
        <v>0</v>
      </c>
      <c r="E20" s="23">
        <f>'Työaika jäsen 4'!B22</f>
        <v>0</v>
      </c>
      <c r="F20" s="23">
        <f t="shared" si="0"/>
        <v>0</v>
      </c>
      <c r="H20" s="51">
        <v>45971</v>
      </c>
      <c r="I20" s="23">
        <f>'Työaika jäsen 1'!C22+'Työaika jäsen 2'!C22+'Työaika jäsen 3'!C22+'Työaika jäsen 4'!C22</f>
        <v>0</v>
      </c>
      <c r="J20" s="23">
        <f>'Työaika jäsen 1'!D22+'Työaika jäsen 2'!D22+'Työaika jäsen 3'!D22+'Työaika jäsen 4'!D22</f>
        <v>0</v>
      </c>
      <c r="K20" s="23">
        <f>'Työaika jäsen 1'!E22+'Työaika jäsen 2'!E22+'Työaika jäsen 3'!E22+'Työaika jäsen 4'!E22</f>
        <v>0</v>
      </c>
      <c r="L20" s="23">
        <f>'Työaika jäsen 1'!F22+'Työaika jäsen 2'!F22+'Työaika jäsen 3'!F22+'Työaika jäsen 4'!F22</f>
        <v>0</v>
      </c>
      <c r="M20" s="23">
        <f>'Työaika jäsen 1'!G22+'Työaika jäsen 2'!G22+'Työaika jäsen 3'!G22+'Työaika jäsen 4'!G22</f>
        <v>0</v>
      </c>
      <c r="N20" s="23">
        <f>'Työaika jäsen 1'!H22+'Työaika jäsen 2'!H22+'Työaika jäsen 3'!H22+'Työaika jäsen 4'!H22</f>
        <v>0</v>
      </c>
      <c r="O20" s="23">
        <f>'Työaika jäsen 1'!I22+'Työaika jäsen 2'!I22+'Työaika jäsen 3'!I22+'Työaika jäsen 4'!I22</f>
        <v>0</v>
      </c>
      <c r="P20" s="23">
        <f>'Työaika jäsen 1'!J22+'Työaika jäsen 2'!J22+'Työaika jäsen 3'!J22+'Työaika jäsen 4'!J22</f>
        <v>0</v>
      </c>
      <c r="Q20" s="23">
        <f>'Työaika jäsen 1'!K22+'Työaika jäsen 2'!K22+'Työaika jäsen 3'!K22+'Työaika jäsen 4'!K22</f>
        <v>0</v>
      </c>
      <c r="R20" s="23">
        <f>'Työaika jäsen 1'!L22+'Työaika jäsen 2'!L22+'Työaika jäsen 3'!L22+'Työaika jäsen 4'!L22</f>
        <v>0</v>
      </c>
      <c r="S20" s="19">
        <f t="shared" si="1"/>
        <v>0</v>
      </c>
    </row>
    <row r="21" spans="1:26" ht="14.25" customHeight="1" x14ac:dyDescent="0.3">
      <c r="A21" s="52" t="s">
        <v>196</v>
      </c>
      <c r="B21" s="53">
        <f t="shared" ref="B21:C21" si="2">SUM(B6:B20)</f>
        <v>19</v>
      </c>
      <c r="C21" s="53">
        <f t="shared" si="2"/>
        <v>0</v>
      </c>
      <c r="D21" s="53">
        <v>0</v>
      </c>
      <c r="E21" s="53">
        <f t="shared" ref="E21:F21" si="3">SUM(E6:E20)</f>
        <v>0</v>
      </c>
      <c r="F21" s="53">
        <f t="shared" si="3"/>
        <v>19</v>
      </c>
      <c r="H21" s="52" t="s">
        <v>196</v>
      </c>
      <c r="I21" s="53">
        <f t="shared" ref="I21:S21" si="4">SUM(I6:I20)</f>
        <v>1</v>
      </c>
      <c r="J21" s="53">
        <f t="shared" si="4"/>
        <v>1</v>
      </c>
      <c r="K21" s="53">
        <f t="shared" si="4"/>
        <v>1</v>
      </c>
      <c r="L21" s="53">
        <f t="shared" si="4"/>
        <v>2</v>
      </c>
      <c r="M21" s="53">
        <f t="shared" si="4"/>
        <v>3</v>
      </c>
      <c r="N21" s="53">
        <f t="shared" si="4"/>
        <v>2</v>
      </c>
      <c r="O21" s="53">
        <f t="shared" si="4"/>
        <v>2</v>
      </c>
      <c r="P21" s="53">
        <f t="shared" si="4"/>
        <v>2</v>
      </c>
      <c r="Q21" s="53">
        <f t="shared" si="4"/>
        <v>2</v>
      </c>
      <c r="R21" s="53">
        <f t="shared" si="4"/>
        <v>3</v>
      </c>
      <c r="S21" s="53">
        <f t="shared" si="4"/>
        <v>19</v>
      </c>
    </row>
    <row r="22" spans="1:26" ht="14.25" customHeight="1" x14ac:dyDescent="0.3">
      <c r="A22" s="54" t="s">
        <v>197</v>
      </c>
      <c r="B22" s="55">
        <f t="shared" ref="B22:F22" si="5">B21</f>
        <v>19</v>
      </c>
      <c r="C22" s="55">
        <f t="shared" si="5"/>
        <v>0</v>
      </c>
      <c r="D22" s="55">
        <f t="shared" si="5"/>
        <v>0</v>
      </c>
      <c r="E22" s="55">
        <f t="shared" si="5"/>
        <v>0</v>
      </c>
      <c r="F22" s="55">
        <f t="shared" si="5"/>
        <v>19</v>
      </c>
      <c r="G22" s="56"/>
      <c r="H22" s="54"/>
      <c r="I22" s="55"/>
      <c r="J22" s="55"/>
      <c r="K22" s="55"/>
      <c r="L22" s="55"/>
      <c r="M22" s="55"/>
      <c r="N22" s="57"/>
      <c r="O22" s="57"/>
      <c r="P22" s="57"/>
      <c r="Q22" s="57"/>
      <c r="R22" s="57"/>
      <c r="S22" s="57"/>
      <c r="T22" s="56"/>
      <c r="U22" s="56"/>
      <c r="V22" s="56"/>
      <c r="W22" s="56"/>
      <c r="X22" s="56"/>
      <c r="Y22" s="56"/>
      <c r="Z22" s="56"/>
    </row>
    <row r="23" spans="1:26" ht="14.25" customHeight="1" x14ac:dyDescent="0.3">
      <c r="A23" s="48"/>
      <c r="B23" s="45"/>
      <c r="C23" s="45"/>
      <c r="D23" s="45"/>
      <c r="E23" s="45"/>
      <c r="F23" s="45"/>
    </row>
    <row r="24" spans="1:26" ht="14.25" customHeight="1" x14ac:dyDescent="0.3">
      <c r="A24" s="58" t="s">
        <v>198</v>
      </c>
      <c r="B24" s="36" t="s">
        <v>191</v>
      </c>
      <c r="C24" s="36" t="s">
        <v>192</v>
      </c>
      <c r="D24" s="36" t="s">
        <v>193</v>
      </c>
      <c r="E24" s="36" t="s">
        <v>194</v>
      </c>
      <c r="F24" s="36" t="s">
        <v>195</v>
      </c>
      <c r="H24" s="58" t="s">
        <v>198</v>
      </c>
      <c r="I24" s="36" t="s">
        <v>142</v>
      </c>
      <c r="J24" s="36" t="s">
        <v>144</v>
      </c>
      <c r="K24" s="36" t="s">
        <v>147</v>
      </c>
      <c r="L24" s="36" t="s">
        <v>149</v>
      </c>
      <c r="M24" s="36" t="s">
        <v>152</v>
      </c>
      <c r="N24" s="36" t="s">
        <v>154</v>
      </c>
      <c r="O24" s="36" t="s">
        <v>157</v>
      </c>
      <c r="P24" s="36" t="s">
        <v>159</v>
      </c>
      <c r="Q24" s="36" t="s">
        <v>161</v>
      </c>
      <c r="R24" s="36" t="s">
        <v>163</v>
      </c>
      <c r="S24" s="36" t="s">
        <v>195</v>
      </c>
    </row>
    <row r="25" spans="1:26" ht="14.25" customHeight="1" x14ac:dyDescent="0.3">
      <c r="A25" s="51">
        <v>45972</v>
      </c>
      <c r="B25" s="23">
        <f>'Työaika jäsen 1'!B27</f>
        <v>0</v>
      </c>
      <c r="C25" s="23">
        <f>'Työaika jäsen 2'!B27</f>
        <v>0</v>
      </c>
      <c r="D25" s="23">
        <f>'Työaika jäsen 3'!B27</f>
        <v>0</v>
      </c>
      <c r="E25" s="23">
        <f>'Työaika jäsen 4'!B27</f>
        <v>0</v>
      </c>
      <c r="F25" s="23">
        <f t="shared" ref="F25:F39" si="6">SUM(B25:E25)</f>
        <v>0</v>
      </c>
      <c r="H25" s="51">
        <v>45957</v>
      </c>
      <c r="I25" s="23">
        <f>'Työaika jäsen 1'!C27+'Työaika jäsen 2'!C27+'Työaika jäsen 3'!C27+'Työaika jäsen 4'!C27</f>
        <v>0</v>
      </c>
      <c r="J25" s="23">
        <f>'Työaika jäsen 1'!D27+'Työaika jäsen 2'!D27+'Työaika jäsen 3'!D27+'Työaika jäsen 4'!D27</f>
        <v>0</v>
      </c>
      <c r="K25" s="23">
        <f>'Työaika jäsen 1'!E27+'Työaika jäsen 2'!E27+'Työaika jäsen 3'!E27+'Työaika jäsen 4'!E27</f>
        <v>0</v>
      </c>
      <c r="L25" s="23">
        <f>'Työaika jäsen 1'!F27+'Työaika jäsen 2'!F27+'Työaika jäsen 3'!F27+'Työaika jäsen 4'!F27</f>
        <v>0</v>
      </c>
      <c r="M25" s="23">
        <f>'Työaika jäsen 1'!G27+'Työaika jäsen 2'!G27+'Työaika jäsen 3'!G27+'Työaika jäsen 4'!G27</f>
        <v>0</v>
      </c>
      <c r="N25" s="23">
        <f>'Työaika jäsen 1'!H27+'Työaika jäsen 2'!H27+'Työaika jäsen 3'!H27+'Työaika jäsen 4'!H27</f>
        <v>0</v>
      </c>
      <c r="O25" s="23">
        <f>'Työaika jäsen 1'!I27+'Työaika jäsen 2'!I27+'Työaika jäsen 3'!I27+'Työaika jäsen 4'!I27</f>
        <v>0</v>
      </c>
      <c r="P25" s="23">
        <f>'Työaika jäsen 1'!J27+'Työaika jäsen 2'!J27+'Työaika jäsen 3'!J27+'Työaika jäsen 4'!J27</f>
        <v>0</v>
      </c>
      <c r="Q25" s="23">
        <f>'Työaika jäsen 1'!K27+'Työaika jäsen 2'!K27+'Työaika jäsen 3'!K27+'Työaika jäsen 4'!K27</f>
        <v>0</v>
      </c>
      <c r="R25" s="23">
        <f>'Työaika jäsen 1'!L27+'Työaika jäsen 2'!L27+'Työaika jäsen 3'!L27+'Työaika jäsen 4'!L27</f>
        <v>0</v>
      </c>
      <c r="S25" s="19">
        <f t="shared" ref="S25:S39" si="7">SUM(I25:R25)</f>
        <v>0</v>
      </c>
    </row>
    <row r="26" spans="1:26" ht="14.25" customHeight="1" x14ac:dyDescent="0.3">
      <c r="A26" s="51">
        <v>45973</v>
      </c>
      <c r="B26" s="23">
        <f>'Työaika jäsen 1'!B28</f>
        <v>0</v>
      </c>
      <c r="C26" s="23">
        <f>'Työaika jäsen 2'!B28</f>
        <v>0</v>
      </c>
      <c r="D26" s="23">
        <f>'Työaika jäsen 3'!B28</f>
        <v>0</v>
      </c>
      <c r="E26" s="23">
        <f>'Työaika jäsen 4'!B28</f>
        <v>0</v>
      </c>
      <c r="F26" s="23">
        <f t="shared" si="6"/>
        <v>0</v>
      </c>
      <c r="H26" s="51">
        <v>45958</v>
      </c>
      <c r="I26" s="23">
        <f>'Työaika jäsen 1'!C28+'Työaika jäsen 2'!C28+'Työaika jäsen 3'!C28+'Työaika jäsen 4'!C28</f>
        <v>0</v>
      </c>
      <c r="J26" s="23">
        <f>'Työaika jäsen 1'!D28+'Työaika jäsen 2'!D28+'Työaika jäsen 3'!D28+'Työaika jäsen 4'!D28</f>
        <v>0</v>
      </c>
      <c r="K26" s="23">
        <f>'Työaika jäsen 1'!E28+'Työaika jäsen 2'!E28+'Työaika jäsen 3'!E28+'Työaika jäsen 4'!E28</f>
        <v>0</v>
      </c>
      <c r="L26" s="23">
        <f>'Työaika jäsen 1'!F28+'Työaika jäsen 2'!F28+'Työaika jäsen 3'!F28+'Työaika jäsen 4'!F28</f>
        <v>0</v>
      </c>
      <c r="M26" s="23">
        <f>'Työaika jäsen 1'!G28+'Työaika jäsen 2'!G28+'Työaika jäsen 3'!G28+'Työaika jäsen 4'!G28</f>
        <v>0</v>
      </c>
      <c r="N26" s="23">
        <f>'Työaika jäsen 1'!H28+'Työaika jäsen 2'!H28+'Työaika jäsen 3'!H28+'Työaika jäsen 4'!H28</f>
        <v>0</v>
      </c>
      <c r="O26" s="23">
        <f>'Työaika jäsen 1'!I28+'Työaika jäsen 2'!I28+'Työaika jäsen 3'!I28+'Työaika jäsen 4'!I28</f>
        <v>0</v>
      </c>
      <c r="P26" s="23">
        <f>'Työaika jäsen 1'!J28+'Työaika jäsen 2'!J28+'Työaika jäsen 3'!J28+'Työaika jäsen 4'!J28</f>
        <v>0</v>
      </c>
      <c r="Q26" s="23">
        <f>'Työaika jäsen 1'!K28+'Työaika jäsen 2'!K28+'Työaika jäsen 3'!K28+'Työaika jäsen 4'!K28</f>
        <v>0</v>
      </c>
      <c r="R26" s="23">
        <f>'Työaika jäsen 1'!L28+'Työaika jäsen 2'!L28+'Työaika jäsen 3'!L28+'Työaika jäsen 4'!L28</f>
        <v>0</v>
      </c>
      <c r="S26" s="19">
        <f t="shared" si="7"/>
        <v>0</v>
      </c>
    </row>
    <row r="27" spans="1:26" ht="14.25" customHeight="1" x14ac:dyDescent="0.3">
      <c r="A27" s="51">
        <v>45974</v>
      </c>
      <c r="B27" s="23">
        <f>'Työaika jäsen 1'!B29</f>
        <v>0</v>
      </c>
      <c r="C27" s="23">
        <f>'Työaika jäsen 2'!B29</f>
        <v>0</v>
      </c>
      <c r="D27" s="23">
        <f>'Työaika jäsen 3'!B29</f>
        <v>0</v>
      </c>
      <c r="E27" s="23">
        <f>'Työaika jäsen 4'!B29</f>
        <v>0</v>
      </c>
      <c r="F27" s="23">
        <f t="shared" si="6"/>
        <v>0</v>
      </c>
      <c r="H27" s="51">
        <v>45959</v>
      </c>
      <c r="I27" s="23">
        <f>'Työaika jäsen 1'!C29+'Työaika jäsen 2'!C29+'Työaika jäsen 3'!C29+'Työaika jäsen 4'!C29</f>
        <v>0</v>
      </c>
      <c r="J27" s="23">
        <f>'Työaika jäsen 1'!D29+'Työaika jäsen 2'!D29+'Työaika jäsen 3'!D29+'Työaika jäsen 4'!D29</f>
        <v>0</v>
      </c>
      <c r="K27" s="23">
        <f>'Työaika jäsen 1'!E29+'Työaika jäsen 2'!E29+'Työaika jäsen 3'!E29+'Työaika jäsen 4'!E29</f>
        <v>0</v>
      </c>
      <c r="L27" s="23">
        <f>'Työaika jäsen 1'!F29+'Työaika jäsen 2'!F29+'Työaika jäsen 3'!F29+'Työaika jäsen 4'!F29</f>
        <v>0</v>
      </c>
      <c r="M27" s="23">
        <f>'Työaika jäsen 1'!G29+'Työaika jäsen 2'!G29+'Työaika jäsen 3'!G29+'Työaika jäsen 4'!G29</f>
        <v>0</v>
      </c>
      <c r="N27" s="23">
        <f>'Työaika jäsen 1'!H29+'Työaika jäsen 2'!H29+'Työaika jäsen 3'!H29+'Työaika jäsen 4'!H29</f>
        <v>0</v>
      </c>
      <c r="O27" s="23">
        <f>'Työaika jäsen 1'!I29+'Työaika jäsen 2'!I29+'Työaika jäsen 3'!I29+'Työaika jäsen 4'!I29</f>
        <v>0</v>
      </c>
      <c r="P27" s="23">
        <f>'Työaika jäsen 1'!J29+'Työaika jäsen 2'!J29+'Työaika jäsen 3'!J29+'Työaika jäsen 4'!J29</f>
        <v>0</v>
      </c>
      <c r="Q27" s="23">
        <f>'Työaika jäsen 1'!K29+'Työaika jäsen 2'!K29+'Työaika jäsen 3'!K29+'Työaika jäsen 4'!K29</f>
        <v>0</v>
      </c>
      <c r="R27" s="23">
        <f>'Työaika jäsen 1'!L29+'Työaika jäsen 2'!L29+'Työaika jäsen 3'!L29+'Työaika jäsen 4'!L29</f>
        <v>0</v>
      </c>
      <c r="S27" s="19">
        <f t="shared" si="7"/>
        <v>0</v>
      </c>
    </row>
    <row r="28" spans="1:26" ht="14.25" customHeight="1" x14ac:dyDescent="0.3">
      <c r="A28" s="51">
        <v>45975</v>
      </c>
      <c r="B28" s="23">
        <f>'Työaika jäsen 1'!B30</f>
        <v>0</v>
      </c>
      <c r="C28" s="23">
        <f>'Työaika jäsen 2'!B30</f>
        <v>0</v>
      </c>
      <c r="D28" s="23">
        <f>'Työaika jäsen 3'!B30</f>
        <v>0</v>
      </c>
      <c r="E28" s="23">
        <f>'Työaika jäsen 4'!B30</f>
        <v>0</v>
      </c>
      <c r="F28" s="23">
        <f t="shared" si="6"/>
        <v>0</v>
      </c>
      <c r="H28" s="51">
        <v>45960</v>
      </c>
      <c r="I28" s="23">
        <f>'Työaika jäsen 1'!C30+'Työaika jäsen 2'!C30+'Työaika jäsen 3'!C30+'Työaika jäsen 4'!C30</f>
        <v>0</v>
      </c>
      <c r="J28" s="23">
        <f>'Työaika jäsen 1'!D30+'Työaika jäsen 2'!D30+'Työaika jäsen 3'!D30+'Työaika jäsen 4'!D30</f>
        <v>0</v>
      </c>
      <c r="K28" s="23">
        <f>'Työaika jäsen 1'!E30+'Työaika jäsen 2'!E30+'Työaika jäsen 3'!E30+'Työaika jäsen 4'!E30</f>
        <v>0</v>
      </c>
      <c r="L28" s="23">
        <f>'Työaika jäsen 1'!F30+'Työaika jäsen 2'!F30+'Työaika jäsen 3'!F30+'Työaika jäsen 4'!F30</f>
        <v>0</v>
      </c>
      <c r="M28" s="23">
        <f>'Työaika jäsen 1'!G30+'Työaika jäsen 2'!G30+'Työaika jäsen 3'!G30+'Työaika jäsen 4'!G30</f>
        <v>0</v>
      </c>
      <c r="N28" s="23">
        <f>'Työaika jäsen 1'!H30+'Työaika jäsen 2'!H30+'Työaika jäsen 3'!H30+'Työaika jäsen 4'!H30</f>
        <v>0</v>
      </c>
      <c r="O28" s="23">
        <f>'Työaika jäsen 1'!I30+'Työaika jäsen 2'!I30+'Työaika jäsen 3'!I30+'Työaika jäsen 4'!I30</f>
        <v>0</v>
      </c>
      <c r="P28" s="23">
        <f>'Työaika jäsen 1'!J30+'Työaika jäsen 2'!J30+'Työaika jäsen 3'!J30+'Työaika jäsen 4'!J30</f>
        <v>0</v>
      </c>
      <c r="Q28" s="23">
        <f>'Työaika jäsen 1'!K30+'Työaika jäsen 2'!K30+'Työaika jäsen 3'!K30+'Työaika jäsen 4'!K30</f>
        <v>0</v>
      </c>
      <c r="R28" s="23">
        <f>'Työaika jäsen 1'!L30+'Työaika jäsen 2'!L30+'Työaika jäsen 3'!L30+'Työaika jäsen 4'!L30</f>
        <v>0</v>
      </c>
      <c r="S28" s="19">
        <f t="shared" si="7"/>
        <v>0</v>
      </c>
    </row>
    <row r="29" spans="1:26" ht="14.25" customHeight="1" x14ac:dyDescent="0.3">
      <c r="A29" s="51">
        <v>45976</v>
      </c>
      <c r="B29" s="23">
        <f>'Työaika jäsen 1'!B31</f>
        <v>0</v>
      </c>
      <c r="C29" s="23">
        <f>'Työaika jäsen 2'!B31</f>
        <v>0</v>
      </c>
      <c r="D29" s="23">
        <f>'Työaika jäsen 3'!B31</f>
        <v>0</v>
      </c>
      <c r="E29" s="23">
        <f>'Työaika jäsen 4'!B31</f>
        <v>0</v>
      </c>
      <c r="F29" s="23">
        <f t="shared" si="6"/>
        <v>0</v>
      </c>
      <c r="H29" s="51">
        <v>45961</v>
      </c>
      <c r="I29" s="23">
        <f>'Työaika jäsen 1'!C31+'Työaika jäsen 2'!C31+'Työaika jäsen 3'!C31+'Työaika jäsen 4'!C31</f>
        <v>0</v>
      </c>
      <c r="J29" s="23">
        <f>'Työaika jäsen 1'!D31+'Työaika jäsen 2'!D31+'Työaika jäsen 3'!D31+'Työaika jäsen 4'!D31</f>
        <v>0</v>
      </c>
      <c r="K29" s="23">
        <f>'Työaika jäsen 1'!E31+'Työaika jäsen 2'!E31+'Työaika jäsen 3'!E31+'Työaika jäsen 4'!E31</f>
        <v>0</v>
      </c>
      <c r="L29" s="23">
        <f>'Työaika jäsen 1'!F31+'Työaika jäsen 2'!F31+'Työaika jäsen 3'!F31+'Työaika jäsen 4'!F31</f>
        <v>0</v>
      </c>
      <c r="M29" s="23">
        <f>'Työaika jäsen 1'!G31+'Työaika jäsen 2'!G31+'Työaika jäsen 3'!G31+'Työaika jäsen 4'!G31</f>
        <v>0</v>
      </c>
      <c r="N29" s="23">
        <f>'Työaika jäsen 1'!H31+'Työaika jäsen 2'!H31+'Työaika jäsen 3'!H31+'Työaika jäsen 4'!H31</f>
        <v>0</v>
      </c>
      <c r="O29" s="23">
        <f>'Työaika jäsen 1'!I31+'Työaika jäsen 2'!I31+'Työaika jäsen 3'!I31+'Työaika jäsen 4'!I31</f>
        <v>0</v>
      </c>
      <c r="P29" s="23">
        <f>'Työaika jäsen 1'!J31+'Työaika jäsen 2'!J31+'Työaika jäsen 3'!J31+'Työaika jäsen 4'!J31</f>
        <v>0</v>
      </c>
      <c r="Q29" s="23">
        <f>'Työaika jäsen 1'!K31+'Työaika jäsen 2'!K31+'Työaika jäsen 3'!K31+'Työaika jäsen 4'!K31</f>
        <v>0</v>
      </c>
      <c r="R29" s="23">
        <f>'Työaika jäsen 1'!L31+'Työaika jäsen 2'!L31+'Työaika jäsen 3'!L31+'Työaika jäsen 4'!L31</f>
        <v>0</v>
      </c>
      <c r="S29" s="19">
        <f t="shared" si="7"/>
        <v>0</v>
      </c>
    </row>
    <row r="30" spans="1:26" ht="14.25" customHeight="1" x14ac:dyDescent="0.3">
      <c r="A30" s="51">
        <v>45977</v>
      </c>
      <c r="B30" s="23">
        <f>'Työaika jäsen 1'!B32</f>
        <v>0</v>
      </c>
      <c r="C30" s="23">
        <f>'Työaika jäsen 2'!B32</f>
        <v>0</v>
      </c>
      <c r="D30" s="23">
        <f>'Työaika jäsen 3'!B32</f>
        <v>0</v>
      </c>
      <c r="E30" s="23">
        <f>'Työaika jäsen 4'!B32</f>
        <v>0</v>
      </c>
      <c r="F30" s="23">
        <f t="shared" si="6"/>
        <v>0</v>
      </c>
      <c r="H30" s="51">
        <v>45962</v>
      </c>
      <c r="I30" s="23">
        <f>'Työaika jäsen 1'!C32+'Työaika jäsen 2'!C32+'Työaika jäsen 3'!C32+'Työaika jäsen 4'!C32</f>
        <v>0</v>
      </c>
      <c r="J30" s="23">
        <f>'Työaika jäsen 1'!D32+'Työaika jäsen 2'!D32+'Työaika jäsen 3'!D32+'Työaika jäsen 4'!D32</f>
        <v>0</v>
      </c>
      <c r="K30" s="23">
        <f>'Työaika jäsen 1'!E32+'Työaika jäsen 2'!E32+'Työaika jäsen 3'!E32+'Työaika jäsen 4'!E32</f>
        <v>0</v>
      </c>
      <c r="L30" s="23">
        <f>'Työaika jäsen 1'!F32+'Työaika jäsen 2'!F32+'Työaika jäsen 3'!F32+'Työaika jäsen 4'!F32</f>
        <v>0</v>
      </c>
      <c r="M30" s="23">
        <f>'Työaika jäsen 1'!G32+'Työaika jäsen 2'!G32+'Työaika jäsen 3'!G32+'Työaika jäsen 4'!G32</f>
        <v>0</v>
      </c>
      <c r="N30" s="23">
        <f>'Työaika jäsen 1'!H32+'Työaika jäsen 2'!H32+'Työaika jäsen 3'!H32+'Työaika jäsen 4'!H32</f>
        <v>0</v>
      </c>
      <c r="O30" s="23">
        <f>'Työaika jäsen 1'!I32+'Työaika jäsen 2'!I32+'Työaika jäsen 3'!I32+'Työaika jäsen 4'!I32</f>
        <v>0</v>
      </c>
      <c r="P30" s="23">
        <f>'Työaika jäsen 1'!J32+'Työaika jäsen 2'!J32+'Työaika jäsen 3'!J32+'Työaika jäsen 4'!J32</f>
        <v>0</v>
      </c>
      <c r="Q30" s="23">
        <f>'Työaika jäsen 1'!K32+'Työaika jäsen 2'!K32+'Työaika jäsen 3'!K32+'Työaika jäsen 4'!K32</f>
        <v>0</v>
      </c>
      <c r="R30" s="23">
        <f>'Työaika jäsen 1'!L32+'Työaika jäsen 2'!L32+'Työaika jäsen 3'!L32+'Työaika jäsen 4'!L32</f>
        <v>0</v>
      </c>
      <c r="S30" s="19">
        <f t="shared" si="7"/>
        <v>0</v>
      </c>
    </row>
    <row r="31" spans="1:26" ht="14.25" customHeight="1" x14ac:dyDescent="0.3">
      <c r="A31" s="51">
        <v>45978</v>
      </c>
      <c r="B31" s="23">
        <f>'Työaika jäsen 1'!B33</f>
        <v>0</v>
      </c>
      <c r="C31" s="23">
        <f>'Työaika jäsen 2'!B33</f>
        <v>0</v>
      </c>
      <c r="D31" s="23">
        <f>'Työaika jäsen 3'!B33</f>
        <v>0</v>
      </c>
      <c r="E31" s="23">
        <f>'Työaika jäsen 4'!B33</f>
        <v>0</v>
      </c>
      <c r="F31" s="23">
        <f t="shared" si="6"/>
        <v>0</v>
      </c>
      <c r="H31" s="51">
        <v>45963</v>
      </c>
      <c r="I31" s="23">
        <f>'Työaika jäsen 1'!C33+'Työaika jäsen 2'!C33+'Työaika jäsen 3'!C33+'Työaika jäsen 4'!C33</f>
        <v>0</v>
      </c>
      <c r="J31" s="23">
        <f>'Työaika jäsen 1'!D33+'Työaika jäsen 2'!D33+'Työaika jäsen 3'!D33+'Työaika jäsen 4'!D33</f>
        <v>0</v>
      </c>
      <c r="K31" s="23">
        <f>'Työaika jäsen 1'!E33+'Työaika jäsen 2'!E33+'Työaika jäsen 3'!E33+'Työaika jäsen 4'!E33</f>
        <v>0</v>
      </c>
      <c r="L31" s="23">
        <f>'Työaika jäsen 1'!F33+'Työaika jäsen 2'!F33+'Työaika jäsen 3'!F33+'Työaika jäsen 4'!F33</f>
        <v>0</v>
      </c>
      <c r="M31" s="23">
        <f>'Työaika jäsen 1'!G33+'Työaika jäsen 2'!G33+'Työaika jäsen 3'!G33+'Työaika jäsen 4'!G33</f>
        <v>0</v>
      </c>
      <c r="N31" s="23">
        <f>'Työaika jäsen 1'!H33+'Työaika jäsen 2'!H33+'Työaika jäsen 3'!H33+'Työaika jäsen 4'!H33</f>
        <v>0</v>
      </c>
      <c r="O31" s="23">
        <f>'Työaika jäsen 1'!I33+'Työaika jäsen 2'!I33+'Työaika jäsen 3'!I33+'Työaika jäsen 4'!I33</f>
        <v>0</v>
      </c>
      <c r="P31" s="23">
        <f>'Työaika jäsen 1'!J33+'Työaika jäsen 2'!J33+'Työaika jäsen 3'!J33+'Työaika jäsen 4'!J33</f>
        <v>0</v>
      </c>
      <c r="Q31" s="23">
        <f>'Työaika jäsen 1'!K33+'Työaika jäsen 2'!K33+'Työaika jäsen 3'!K33+'Työaika jäsen 4'!K33</f>
        <v>0</v>
      </c>
      <c r="R31" s="23">
        <f>'Työaika jäsen 1'!L33+'Työaika jäsen 2'!L33+'Työaika jäsen 3'!L33+'Työaika jäsen 4'!L33</f>
        <v>0</v>
      </c>
      <c r="S31" s="19">
        <f t="shared" si="7"/>
        <v>0</v>
      </c>
    </row>
    <row r="32" spans="1:26" ht="14.25" customHeight="1" x14ac:dyDescent="0.3">
      <c r="A32" s="51">
        <v>45979</v>
      </c>
      <c r="B32" s="23">
        <f>'Työaika jäsen 1'!B34</f>
        <v>0</v>
      </c>
      <c r="C32" s="23">
        <f>'Työaika jäsen 2'!B34</f>
        <v>0</v>
      </c>
      <c r="D32" s="23">
        <f>'Työaika jäsen 3'!B34</f>
        <v>0</v>
      </c>
      <c r="E32" s="23">
        <f>'Työaika jäsen 4'!B34</f>
        <v>0</v>
      </c>
      <c r="F32" s="23">
        <f t="shared" si="6"/>
        <v>0</v>
      </c>
      <c r="H32" s="51">
        <v>45964</v>
      </c>
      <c r="I32" s="23">
        <f>'Työaika jäsen 1'!C34+'Työaika jäsen 2'!C34+'Työaika jäsen 3'!C34+'Työaika jäsen 4'!C34</f>
        <v>0</v>
      </c>
      <c r="J32" s="23">
        <f>'Työaika jäsen 1'!D34+'Työaika jäsen 2'!D34+'Työaika jäsen 3'!D34+'Työaika jäsen 4'!D34</f>
        <v>0</v>
      </c>
      <c r="K32" s="23">
        <f>'Työaika jäsen 1'!E34+'Työaika jäsen 2'!E34+'Työaika jäsen 3'!E34+'Työaika jäsen 4'!E34</f>
        <v>0</v>
      </c>
      <c r="L32" s="23">
        <f>'Työaika jäsen 1'!F34+'Työaika jäsen 2'!F34+'Työaika jäsen 3'!F34+'Työaika jäsen 4'!F34</f>
        <v>0</v>
      </c>
      <c r="M32" s="23">
        <f>'Työaika jäsen 1'!G34+'Työaika jäsen 2'!G34+'Työaika jäsen 3'!G34+'Työaika jäsen 4'!G34</f>
        <v>0</v>
      </c>
      <c r="N32" s="23">
        <f>'Työaika jäsen 1'!H34+'Työaika jäsen 2'!H34+'Työaika jäsen 3'!H34+'Työaika jäsen 4'!H34</f>
        <v>0</v>
      </c>
      <c r="O32" s="23">
        <f>'Työaika jäsen 1'!I34+'Työaika jäsen 2'!I34+'Työaika jäsen 3'!I34+'Työaika jäsen 4'!I34</f>
        <v>0</v>
      </c>
      <c r="P32" s="23">
        <f>'Työaika jäsen 1'!J34+'Työaika jäsen 2'!J34+'Työaika jäsen 3'!J34+'Työaika jäsen 4'!J34</f>
        <v>0</v>
      </c>
      <c r="Q32" s="23">
        <f>'Työaika jäsen 1'!K34+'Työaika jäsen 2'!K34+'Työaika jäsen 3'!K34+'Työaika jäsen 4'!K34</f>
        <v>0</v>
      </c>
      <c r="R32" s="23">
        <f>'Työaika jäsen 1'!L34+'Työaika jäsen 2'!L34+'Työaika jäsen 3'!L34+'Työaika jäsen 4'!L34</f>
        <v>0</v>
      </c>
      <c r="S32" s="19">
        <f t="shared" si="7"/>
        <v>0</v>
      </c>
    </row>
    <row r="33" spans="1:26" ht="14.25" customHeight="1" x14ac:dyDescent="0.3">
      <c r="A33" s="51">
        <v>45980</v>
      </c>
      <c r="B33" s="23">
        <f>'Työaika jäsen 1'!B35</f>
        <v>0</v>
      </c>
      <c r="C33" s="23">
        <f>'Työaika jäsen 2'!B35</f>
        <v>0</v>
      </c>
      <c r="D33" s="23">
        <f>'Työaika jäsen 3'!B35</f>
        <v>0</v>
      </c>
      <c r="E33" s="23">
        <f>'Työaika jäsen 4'!B35</f>
        <v>0</v>
      </c>
      <c r="F33" s="23">
        <f t="shared" si="6"/>
        <v>0</v>
      </c>
      <c r="H33" s="51">
        <v>45965</v>
      </c>
      <c r="I33" s="23">
        <f>'Työaika jäsen 1'!C35+'Työaika jäsen 2'!C35+'Työaika jäsen 3'!C35+'Työaika jäsen 4'!C35</f>
        <v>0</v>
      </c>
      <c r="J33" s="23">
        <f>'Työaika jäsen 1'!D35+'Työaika jäsen 2'!D35+'Työaika jäsen 3'!D35+'Työaika jäsen 4'!D35</f>
        <v>0</v>
      </c>
      <c r="K33" s="23">
        <f>'Työaika jäsen 1'!E35+'Työaika jäsen 2'!E35+'Työaika jäsen 3'!E35+'Työaika jäsen 4'!E35</f>
        <v>0</v>
      </c>
      <c r="L33" s="23">
        <f>'Työaika jäsen 1'!F35+'Työaika jäsen 2'!F35+'Työaika jäsen 3'!F35+'Työaika jäsen 4'!F35</f>
        <v>0</v>
      </c>
      <c r="M33" s="23">
        <f>'Työaika jäsen 1'!G35+'Työaika jäsen 2'!G35+'Työaika jäsen 3'!G35+'Työaika jäsen 4'!G35</f>
        <v>0</v>
      </c>
      <c r="N33" s="23">
        <f>'Työaika jäsen 1'!H35+'Työaika jäsen 2'!H35+'Työaika jäsen 3'!H35+'Työaika jäsen 4'!H35</f>
        <v>0</v>
      </c>
      <c r="O33" s="23">
        <f>'Työaika jäsen 1'!I35+'Työaika jäsen 2'!I35+'Työaika jäsen 3'!I35+'Työaika jäsen 4'!I35</f>
        <v>0</v>
      </c>
      <c r="P33" s="23">
        <f>'Työaika jäsen 1'!J35+'Työaika jäsen 2'!J35+'Työaika jäsen 3'!J35+'Työaika jäsen 4'!J35</f>
        <v>0</v>
      </c>
      <c r="Q33" s="23">
        <f>'Työaika jäsen 1'!K35+'Työaika jäsen 2'!K35+'Työaika jäsen 3'!K35+'Työaika jäsen 4'!K35</f>
        <v>0</v>
      </c>
      <c r="R33" s="23">
        <f>'Työaika jäsen 1'!L35+'Työaika jäsen 2'!L35+'Työaika jäsen 3'!L35+'Työaika jäsen 4'!L35</f>
        <v>0</v>
      </c>
      <c r="S33" s="19">
        <f t="shared" si="7"/>
        <v>0</v>
      </c>
    </row>
    <row r="34" spans="1:26" ht="14.25" customHeight="1" x14ac:dyDescent="0.3">
      <c r="A34" s="51">
        <v>45981</v>
      </c>
      <c r="B34" s="23">
        <f>'Työaika jäsen 1'!B36</f>
        <v>0</v>
      </c>
      <c r="C34" s="23">
        <f>'Työaika jäsen 2'!B36</f>
        <v>0</v>
      </c>
      <c r="D34" s="23">
        <f>'Työaika jäsen 3'!B36</f>
        <v>0</v>
      </c>
      <c r="E34" s="23">
        <f>'Työaika jäsen 4'!B36</f>
        <v>0</v>
      </c>
      <c r="F34" s="23">
        <f t="shared" si="6"/>
        <v>0</v>
      </c>
      <c r="H34" s="51">
        <v>45966</v>
      </c>
      <c r="I34" s="23">
        <f>'Työaika jäsen 1'!C36+'Työaika jäsen 2'!C36+'Työaika jäsen 3'!C36+'Työaika jäsen 4'!C36</f>
        <v>0</v>
      </c>
      <c r="J34" s="23">
        <f>'Työaika jäsen 1'!D36+'Työaika jäsen 2'!D36+'Työaika jäsen 3'!D36+'Työaika jäsen 4'!D36</f>
        <v>0</v>
      </c>
      <c r="K34" s="23">
        <f>'Työaika jäsen 1'!E36+'Työaika jäsen 2'!E36+'Työaika jäsen 3'!E36+'Työaika jäsen 4'!E36</f>
        <v>0</v>
      </c>
      <c r="L34" s="23">
        <f>'Työaika jäsen 1'!F36+'Työaika jäsen 2'!F36+'Työaika jäsen 3'!F36+'Työaika jäsen 4'!F36</f>
        <v>0</v>
      </c>
      <c r="M34" s="23">
        <f>'Työaika jäsen 1'!G36+'Työaika jäsen 2'!G36+'Työaika jäsen 3'!G36+'Työaika jäsen 4'!G36</f>
        <v>0</v>
      </c>
      <c r="N34" s="23">
        <f>'Työaika jäsen 1'!H36+'Työaika jäsen 2'!H36+'Työaika jäsen 3'!H36+'Työaika jäsen 4'!H36</f>
        <v>0</v>
      </c>
      <c r="O34" s="23">
        <f>'Työaika jäsen 1'!I36+'Työaika jäsen 2'!I36+'Työaika jäsen 3'!I36+'Työaika jäsen 4'!I36</f>
        <v>0</v>
      </c>
      <c r="P34" s="23">
        <f>'Työaika jäsen 1'!J36+'Työaika jäsen 2'!J36+'Työaika jäsen 3'!J36+'Työaika jäsen 4'!J36</f>
        <v>0</v>
      </c>
      <c r="Q34" s="23">
        <f>'Työaika jäsen 1'!K36+'Työaika jäsen 2'!K36+'Työaika jäsen 3'!K36+'Työaika jäsen 4'!K36</f>
        <v>0</v>
      </c>
      <c r="R34" s="23">
        <f>'Työaika jäsen 1'!L36+'Työaika jäsen 2'!L36+'Työaika jäsen 3'!L36+'Työaika jäsen 4'!L36</f>
        <v>0</v>
      </c>
      <c r="S34" s="19">
        <f t="shared" si="7"/>
        <v>0</v>
      </c>
    </row>
    <row r="35" spans="1:26" ht="14.25" customHeight="1" x14ac:dyDescent="0.3">
      <c r="A35" s="51">
        <v>45982</v>
      </c>
      <c r="B35" s="23">
        <f>'Työaika jäsen 1'!B37</f>
        <v>0</v>
      </c>
      <c r="C35" s="23">
        <f>'Työaika jäsen 2'!B37</f>
        <v>0</v>
      </c>
      <c r="D35" s="23">
        <f>'Työaika jäsen 3'!B37</f>
        <v>0</v>
      </c>
      <c r="E35" s="23">
        <f>'Työaika jäsen 4'!B37</f>
        <v>0</v>
      </c>
      <c r="F35" s="23">
        <f t="shared" si="6"/>
        <v>0</v>
      </c>
      <c r="H35" s="51">
        <v>45967</v>
      </c>
      <c r="I35" s="23">
        <f>'Työaika jäsen 1'!C37+'Työaika jäsen 2'!C37+'Työaika jäsen 3'!C37+'Työaika jäsen 4'!C37</f>
        <v>0</v>
      </c>
      <c r="J35" s="23">
        <f>'Työaika jäsen 1'!D37+'Työaika jäsen 2'!D37+'Työaika jäsen 3'!D37+'Työaika jäsen 4'!D37</f>
        <v>0</v>
      </c>
      <c r="K35" s="23">
        <f>'Työaika jäsen 1'!E37+'Työaika jäsen 2'!E37+'Työaika jäsen 3'!E37+'Työaika jäsen 4'!E37</f>
        <v>0</v>
      </c>
      <c r="L35" s="23">
        <f>'Työaika jäsen 1'!F37+'Työaika jäsen 2'!F37+'Työaika jäsen 3'!F37+'Työaika jäsen 4'!F37</f>
        <v>0</v>
      </c>
      <c r="M35" s="23">
        <f>'Työaika jäsen 1'!G37+'Työaika jäsen 2'!G37+'Työaika jäsen 3'!G37+'Työaika jäsen 4'!G37</f>
        <v>0</v>
      </c>
      <c r="N35" s="23">
        <f>'Työaika jäsen 1'!H37+'Työaika jäsen 2'!H37+'Työaika jäsen 3'!H37+'Työaika jäsen 4'!H37</f>
        <v>0</v>
      </c>
      <c r="O35" s="23">
        <f>'Työaika jäsen 1'!I37+'Työaika jäsen 2'!I37+'Työaika jäsen 3'!I37+'Työaika jäsen 4'!I37</f>
        <v>0</v>
      </c>
      <c r="P35" s="23">
        <f>'Työaika jäsen 1'!J37+'Työaika jäsen 2'!J37+'Työaika jäsen 3'!J37+'Työaika jäsen 4'!J37</f>
        <v>0</v>
      </c>
      <c r="Q35" s="23">
        <f>'Työaika jäsen 1'!K37+'Työaika jäsen 2'!K37+'Työaika jäsen 3'!K37+'Työaika jäsen 4'!K37</f>
        <v>0</v>
      </c>
      <c r="R35" s="23">
        <f>'Työaika jäsen 1'!L37+'Työaika jäsen 2'!L37+'Työaika jäsen 3'!L37+'Työaika jäsen 4'!L37</f>
        <v>0</v>
      </c>
      <c r="S35" s="19">
        <f t="shared" si="7"/>
        <v>0</v>
      </c>
    </row>
    <row r="36" spans="1:26" ht="14.25" customHeight="1" x14ac:dyDescent="0.3">
      <c r="A36" s="51">
        <v>45983</v>
      </c>
      <c r="B36" s="23">
        <f>'Työaika jäsen 1'!B38</f>
        <v>0</v>
      </c>
      <c r="C36" s="23">
        <f>'Työaika jäsen 2'!B38</f>
        <v>0</v>
      </c>
      <c r="D36" s="23">
        <f>'Työaika jäsen 3'!B38</f>
        <v>0</v>
      </c>
      <c r="E36" s="23">
        <f>'Työaika jäsen 4'!B38</f>
        <v>0</v>
      </c>
      <c r="F36" s="23">
        <f t="shared" si="6"/>
        <v>0</v>
      </c>
      <c r="H36" s="51">
        <v>45968</v>
      </c>
      <c r="I36" s="23">
        <f>'Työaika jäsen 1'!C38+'Työaika jäsen 2'!C38+'Työaika jäsen 3'!C38+'Työaika jäsen 4'!C38</f>
        <v>0</v>
      </c>
      <c r="J36" s="23">
        <f>'Työaika jäsen 1'!D38+'Työaika jäsen 2'!D38+'Työaika jäsen 3'!D38+'Työaika jäsen 4'!D38</f>
        <v>0</v>
      </c>
      <c r="K36" s="23">
        <f>'Työaika jäsen 1'!E38+'Työaika jäsen 2'!E38+'Työaika jäsen 3'!E38+'Työaika jäsen 4'!E38</f>
        <v>0</v>
      </c>
      <c r="L36" s="23">
        <f>'Työaika jäsen 1'!F38+'Työaika jäsen 2'!F38+'Työaika jäsen 3'!F38+'Työaika jäsen 4'!F38</f>
        <v>0</v>
      </c>
      <c r="M36" s="23">
        <f>'Työaika jäsen 1'!G38+'Työaika jäsen 2'!G38+'Työaika jäsen 3'!G38+'Työaika jäsen 4'!G38</f>
        <v>0</v>
      </c>
      <c r="N36" s="23">
        <f>'Työaika jäsen 1'!H38+'Työaika jäsen 2'!H38+'Työaika jäsen 3'!H38+'Työaika jäsen 4'!H38</f>
        <v>0</v>
      </c>
      <c r="O36" s="23">
        <f>'Työaika jäsen 1'!I38+'Työaika jäsen 2'!I38+'Työaika jäsen 3'!I38+'Työaika jäsen 4'!I38</f>
        <v>0</v>
      </c>
      <c r="P36" s="23">
        <f>'Työaika jäsen 1'!J38+'Työaika jäsen 2'!J38+'Työaika jäsen 3'!J38+'Työaika jäsen 4'!J38</f>
        <v>0</v>
      </c>
      <c r="Q36" s="23">
        <f>'Työaika jäsen 1'!K38+'Työaika jäsen 2'!K38+'Työaika jäsen 3'!K38+'Työaika jäsen 4'!K38</f>
        <v>0</v>
      </c>
      <c r="R36" s="23">
        <f>'Työaika jäsen 1'!L38+'Työaika jäsen 2'!L38+'Työaika jäsen 3'!L38+'Työaika jäsen 4'!L38</f>
        <v>0</v>
      </c>
      <c r="S36" s="19">
        <f t="shared" si="7"/>
        <v>0</v>
      </c>
    </row>
    <row r="37" spans="1:26" ht="14.25" customHeight="1" x14ac:dyDescent="0.3">
      <c r="A37" s="51">
        <v>45984</v>
      </c>
      <c r="B37" s="23">
        <f>'Työaika jäsen 1'!B39</f>
        <v>0</v>
      </c>
      <c r="C37" s="23">
        <f>'Työaika jäsen 2'!B39</f>
        <v>0</v>
      </c>
      <c r="D37" s="23">
        <f>'Työaika jäsen 3'!B39</f>
        <v>0</v>
      </c>
      <c r="E37" s="23">
        <f>'Työaika jäsen 4'!B39</f>
        <v>0</v>
      </c>
      <c r="F37" s="23">
        <f t="shared" si="6"/>
        <v>0</v>
      </c>
      <c r="H37" s="51">
        <v>45969</v>
      </c>
      <c r="I37" s="23">
        <f>'Työaika jäsen 1'!C39+'Työaika jäsen 2'!C39+'Työaika jäsen 3'!C39+'Työaika jäsen 4'!C39</f>
        <v>0</v>
      </c>
      <c r="J37" s="23">
        <f>'Työaika jäsen 1'!D39+'Työaika jäsen 2'!D39+'Työaika jäsen 3'!D39+'Työaika jäsen 4'!D39</f>
        <v>0</v>
      </c>
      <c r="K37" s="23">
        <f>'Työaika jäsen 1'!E39+'Työaika jäsen 2'!E39+'Työaika jäsen 3'!E39+'Työaika jäsen 4'!E39</f>
        <v>0</v>
      </c>
      <c r="L37" s="23">
        <f>'Työaika jäsen 1'!F39+'Työaika jäsen 2'!F39+'Työaika jäsen 3'!F39+'Työaika jäsen 4'!F39</f>
        <v>0</v>
      </c>
      <c r="M37" s="23">
        <f>'Työaika jäsen 1'!G39+'Työaika jäsen 2'!G39+'Työaika jäsen 3'!G39+'Työaika jäsen 4'!G39</f>
        <v>0</v>
      </c>
      <c r="N37" s="23">
        <f>'Työaika jäsen 1'!H39+'Työaika jäsen 2'!H39+'Työaika jäsen 3'!H39+'Työaika jäsen 4'!H39</f>
        <v>0</v>
      </c>
      <c r="O37" s="23">
        <f>'Työaika jäsen 1'!I39+'Työaika jäsen 2'!I39+'Työaika jäsen 3'!I39+'Työaika jäsen 4'!I39</f>
        <v>0</v>
      </c>
      <c r="P37" s="23">
        <f>'Työaika jäsen 1'!J39+'Työaika jäsen 2'!J39+'Työaika jäsen 3'!J39+'Työaika jäsen 4'!J39</f>
        <v>0</v>
      </c>
      <c r="Q37" s="23">
        <f>'Työaika jäsen 1'!K39+'Työaika jäsen 2'!K39+'Työaika jäsen 3'!K39+'Työaika jäsen 4'!K39</f>
        <v>0</v>
      </c>
      <c r="R37" s="23">
        <f>'Työaika jäsen 1'!L39+'Työaika jäsen 2'!L39+'Työaika jäsen 3'!L39+'Työaika jäsen 4'!L39</f>
        <v>0</v>
      </c>
      <c r="S37" s="19">
        <f t="shared" si="7"/>
        <v>0</v>
      </c>
    </row>
    <row r="38" spans="1:26" ht="14.25" customHeight="1" x14ac:dyDescent="0.3">
      <c r="A38" s="51">
        <v>45985</v>
      </c>
      <c r="B38" s="23">
        <f>'Työaika jäsen 1'!B40</f>
        <v>0</v>
      </c>
      <c r="C38" s="23">
        <f>'Työaika jäsen 2'!B40</f>
        <v>0</v>
      </c>
      <c r="D38" s="23">
        <f>'Työaika jäsen 3'!B40</f>
        <v>0</v>
      </c>
      <c r="E38" s="23">
        <f>'Työaika jäsen 4'!B40</f>
        <v>0</v>
      </c>
      <c r="F38" s="23">
        <f t="shared" si="6"/>
        <v>0</v>
      </c>
      <c r="H38" s="51">
        <v>45970</v>
      </c>
      <c r="I38" s="23">
        <f>'Työaika jäsen 1'!C40+'Työaika jäsen 2'!C40+'Työaika jäsen 3'!C40+'Työaika jäsen 4'!C40</f>
        <v>0</v>
      </c>
      <c r="J38" s="23">
        <f>'Työaika jäsen 1'!D40+'Työaika jäsen 2'!D40+'Työaika jäsen 3'!D40+'Työaika jäsen 4'!D40</f>
        <v>0</v>
      </c>
      <c r="K38" s="23">
        <f>'Työaika jäsen 1'!E40+'Työaika jäsen 2'!E40+'Työaika jäsen 3'!E40+'Työaika jäsen 4'!E40</f>
        <v>0</v>
      </c>
      <c r="L38" s="23">
        <f>'Työaika jäsen 1'!F40+'Työaika jäsen 2'!F40+'Työaika jäsen 3'!F40+'Työaika jäsen 4'!F40</f>
        <v>0</v>
      </c>
      <c r="M38" s="23">
        <f>'Työaika jäsen 1'!G40+'Työaika jäsen 2'!G40+'Työaika jäsen 3'!G40+'Työaika jäsen 4'!G40</f>
        <v>0</v>
      </c>
      <c r="N38" s="23">
        <f>'Työaika jäsen 1'!H40+'Työaika jäsen 2'!H40+'Työaika jäsen 3'!H40+'Työaika jäsen 4'!H40</f>
        <v>0</v>
      </c>
      <c r="O38" s="23">
        <f>'Työaika jäsen 1'!I40+'Työaika jäsen 2'!I40+'Työaika jäsen 3'!I40+'Työaika jäsen 4'!I40</f>
        <v>0</v>
      </c>
      <c r="P38" s="23">
        <f>'Työaika jäsen 1'!J40+'Työaika jäsen 2'!J40+'Työaika jäsen 3'!J40+'Työaika jäsen 4'!J40</f>
        <v>0</v>
      </c>
      <c r="Q38" s="23">
        <f>'Työaika jäsen 1'!K40+'Työaika jäsen 2'!K40+'Työaika jäsen 3'!K40+'Työaika jäsen 4'!K40</f>
        <v>0</v>
      </c>
      <c r="R38" s="23">
        <f>'Työaika jäsen 1'!L40+'Työaika jäsen 2'!L40+'Työaika jäsen 3'!L40+'Työaika jäsen 4'!L40</f>
        <v>0</v>
      </c>
      <c r="S38" s="19">
        <f t="shared" si="7"/>
        <v>0</v>
      </c>
    </row>
    <row r="39" spans="1:26" ht="14.25" customHeight="1" x14ac:dyDescent="0.3">
      <c r="A39" s="51">
        <v>45986</v>
      </c>
      <c r="B39" s="23">
        <f>'Työaika jäsen 1'!B41</f>
        <v>0</v>
      </c>
      <c r="C39" s="23">
        <f>'Työaika jäsen 2'!B41</f>
        <v>0</v>
      </c>
      <c r="D39" s="23">
        <f>'Työaika jäsen 3'!B41</f>
        <v>0</v>
      </c>
      <c r="E39" s="23">
        <f>'Työaika jäsen 4'!B41</f>
        <v>0</v>
      </c>
      <c r="F39" s="23">
        <f t="shared" si="6"/>
        <v>0</v>
      </c>
      <c r="H39" s="51">
        <v>45971</v>
      </c>
      <c r="I39" s="23">
        <f>'Työaika jäsen 1'!C41+'Työaika jäsen 2'!C41+'Työaika jäsen 3'!C41+'Työaika jäsen 4'!C41</f>
        <v>0</v>
      </c>
      <c r="J39" s="23">
        <f>'Työaika jäsen 1'!D41+'Työaika jäsen 2'!D41+'Työaika jäsen 3'!D41+'Työaika jäsen 4'!D41</f>
        <v>0</v>
      </c>
      <c r="K39" s="23">
        <f>'Työaika jäsen 1'!E41+'Työaika jäsen 2'!E41+'Työaika jäsen 3'!E41+'Työaika jäsen 4'!E41</f>
        <v>0</v>
      </c>
      <c r="L39" s="23">
        <f>'Työaika jäsen 1'!F41+'Työaika jäsen 2'!F41+'Työaika jäsen 3'!F41+'Työaika jäsen 4'!F41</f>
        <v>0</v>
      </c>
      <c r="M39" s="23">
        <f>'Työaika jäsen 1'!G41+'Työaika jäsen 2'!G41+'Työaika jäsen 3'!G41+'Työaika jäsen 4'!G41</f>
        <v>0</v>
      </c>
      <c r="N39" s="23">
        <f>'Työaika jäsen 1'!H41+'Työaika jäsen 2'!H41+'Työaika jäsen 3'!H41+'Työaika jäsen 4'!H41</f>
        <v>0</v>
      </c>
      <c r="O39" s="23">
        <f>'Työaika jäsen 1'!I41+'Työaika jäsen 2'!I41+'Työaika jäsen 3'!I41+'Työaika jäsen 4'!I41</f>
        <v>0</v>
      </c>
      <c r="P39" s="23">
        <f>'Työaika jäsen 1'!J41+'Työaika jäsen 2'!J41+'Työaika jäsen 3'!J41+'Työaika jäsen 4'!J41</f>
        <v>0</v>
      </c>
      <c r="Q39" s="23">
        <f>'Työaika jäsen 1'!K41+'Työaika jäsen 2'!K41+'Työaika jäsen 3'!K41+'Työaika jäsen 4'!K41</f>
        <v>0</v>
      </c>
      <c r="R39" s="23">
        <f>'Työaika jäsen 1'!L41+'Työaika jäsen 2'!L41+'Työaika jäsen 3'!L41+'Työaika jäsen 4'!L41</f>
        <v>0</v>
      </c>
      <c r="S39" s="19">
        <f t="shared" si="7"/>
        <v>0</v>
      </c>
    </row>
    <row r="40" spans="1:26" ht="14.25" customHeight="1" x14ac:dyDescent="0.3">
      <c r="A40" s="59" t="s">
        <v>196</v>
      </c>
      <c r="B40" s="60">
        <f t="shared" ref="B40:F40" si="8">SUM(B25:B39)</f>
        <v>0</v>
      </c>
      <c r="C40" s="60">
        <f t="shared" si="8"/>
        <v>0</v>
      </c>
      <c r="D40" s="60">
        <f t="shared" si="8"/>
        <v>0</v>
      </c>
      <c r="E40" s="60">
        <f t="shared" si="8"/>
        <v>0</v>
      </c>
      <c r="F40" s="60">
        <f t="shared" si="8"/>
        <v>0</v>
      </c>
      <c r="H40" s="59" t="s">
        <v>196</v>
      </c>
      <c r="I40" s="60">
        <f t="shared" ref="I40:S40" si="9">SUM(I25:I39)</f>
        <v>0</v>
      </c>
      <c r="J40" s="60">
        <f t="shared" si="9"/>
        <v>0</v>
      </c>
      <c r="K40" s="60">
        <f t="shared" si="9"/>
        <v>0</v>
      </c>
      <c r="L40" s="60">
        <f t="shared" si="9"/>
        <v>0</v>
      </c>
      <c r="M40" s="60">
        <f t="shared" si="9"/>
        <v>0</v>
      </c>
      <c r="N40" s="60">
        <f t="shared" si="9"/>
        <v>0</v>
      </c>
      <c r="O40" s="60">
        <f t="shared" si="9"/>
        <v>0</v>
      </c>
      <c r="P40" s="60">
        <f t="shared" si="9"/>
        <v>0</v>
      </c>
      <c r="Q40" s="60">
        <f t="shared" si="9"/>
        <v>0</v>
      </c>
      <c r="R40" s="60">
        <f t="shared" si="9"/>
        <v>0</v>
      </c>
      <c r="S40" s="60">
        <f t="shared" si="9"/>
        <v>0</v>
      </c>
    </row>
    <row r="41" spans="1:26" ht="14.25" customHeight="1" x14ac:dyDescent="0.3">
      <c r="A41" s="54" t="s">
        <v>197</v>
      </c>
      <c r="B41" s="55">
        <f t="shared" ref="B41:F41" si="10">B22+B40</f>
        <v>19</v>
      </c>
      <c r="C41" s="55">
        <f t="shared" si="10"/>
        <v>0</v>
      </c>
      <c r="D41" s="55">
        <f t="shared" si="10"/>
        <v>0</v>
      </c>
      <c r="E41" s="55">
        <f t="shared" si="10"/>
        <v>0</v>
      </c>
      <c r="F41" s="55">
        <f t="shared" si="10"/>
        <v>19</v>
      </c>
      <c r="G41" s="56"/>
      <c r="H41" s="54"/>
      <c r="I41" s="55"/>
      <c r="J41" s="55"/>
      <c r="K41" s="55"/>
      <c r="L41" s="55"/>
      <c r="M41" s="55"/>
      <c r="N41" s="57"/>
      <c r="O41" s="57"/>
      <c r="P41" s="57"/>
      <c r="Q41" s="57"/>
      <c r="R41" s="57"/>
      <c r="S41" s="57"/>
      <c r="T41" s="56"/>
      <c r="U41" s="56"/>
      <c r="V41" s="56"/>
      <c r="W41" s="56"/>
      <c r="X41" s="56"/>
      <c r="Y41" s="56"/>
      <c r="Z41" s="56"/>
    </row>
    <row r="42" spans="1:26" ht="14.25" customHeight="1" x14ac:dyDescent="0.3">
      <c r="A42" s="48"/>
      <c r="B42" s="45"/>
      <c r="C42" s="45"/>
      <c r="D42" s="45"/>
      <c r="E42" s="45"/>
      <c r="F42" s="45"/>
    </row>
    <row r="43" spans="1:26" ht="14.25" customHeight="1" x14ac:dyDescent="0.3">
      <c r="A43" s="61" t="s">
        <v>199</v>
      </c>
      <c r="B43" s="44" t="s">
        <v>191</v>
      </c>
      <c r="C43" s="44" t="s">
        <v>192</v>
      </c>
      <c r="D43" s="44" t="s">
        <v>193</v>
      </c>
      <c r="E43" s="44" t="s">
        <v>194</v>
      </c>
      <c r="F43" s="44" t="s">
        <v>195</v>
      </c>
      <c r="H43" s="61" t="s">
        <v>199</v>
      </c>
      <c r="I43" s="44" t="s">
        <v>167</v>
      </c>
      <c r="J43" s="44" t="s">
        <v>169</v>
      </c>
      <c r="K43" s="44" t="s">
        <v>171</v>
      </c>
      <c r="L43" s="44" t="s">
        <v>173</v>
      </c>
      <c r="M43" s="44" t="s">
        <v>175</v>
      </c>
      <c r="N43" s="44" t="s">
        <v>177</v>
      </c>
      <c r="O43" s="44" t="s">
        <v>179</v>
      </c>
      <c r="P43" s="44" t="s">
        <v>181</v>
      </c>
      <c r="Q43" s="44" t="s">
        <v>183</v>
      </c>
      <c r="R43" s="44" t="s">
        <v>185</v>
      </c>
      <c r="S43" s="44" t="s">
        <v>195</v>
      </c>
    </row>
    <row r="44" spans="1:26" ht="14.25" customHeight="1" x14ac:dyDescent="0.3">
      <c r="A44" s="51">
        <v>45987</v>
      </c>
      <c r="B44" s="23">
        <f>'Työaika jäsen 1'!B46</f>
        <v>0</v>
      </c>
      <c r="C44" s="23">
        <f>'Työaika jäsen 2'!B46</f>
        <v>0</v>
      </c>
      <c r="D44" s="23">
        <f>'Työaika jäsen 3'!B46</f>
        <v>0</v>
      </c>
      <c r="E44" s="23">
        <f>'Työaika jäsen 4'!B46</f>
        <v>0</v>
      </c>
      <c r="F44" s="23">
        <f t="shared" ref="F44:F58" si="11">SUM(B44:E44)</f>
        <v>0</v>
      </c>
      <c r="H44" s="51">
        <v>45957</v>
      </c>
      <c r="I44" s="23">
        <f>'Työaika jäsen 1'!C46+'Työaika jäsen 2'!C46+'Työaika jäsen 3'!C46+'Työaika jäsen 4'!C46</f>
        <v>0</v>
      </c>
      <c r="J44" s="23">
        <f>'Työaika jäsen 1'!D46+'Työaika jäsen 2'!D46+'Työaika jäsen 3'!D46+'Työaika jäsen 4'!D46</f>
        <v>0</v>
      </c>
      <c r="K44" s="23">
        <f>'Työaika jäsen 1'!E46+'Työaika jäsen 2'!E46+'Työaika jäsen 3'!E46+'Työaika jäsen 4'!E46</f>
        <v>0</v>
      </c>
      <c r="L44" s="23">
        <f>'Työaika jäsen 1'!F46+'Työaika jäsen 2'!F46+'Työaika jäsen 3'!F46+'Työaika jäsen 4'!F46</f>
        <v>0</v>
      </c>
      <c r="M44" s="23">
        <f>'Työaika jäsen 1'!G46+'Työaika jäsen 2'!G46+'Työaika jäsen 3'!G46+'Työaika jäsen 4'!G46</f>
        <v>0</v>
      </c>
      <c r="N44" s="23">
        <f>'Työaika jäsen 1'!H46+'Työaika jäsen 2'!H46+'Työaika jäsen 3'!H46+'Työaika jäsen 4'!H46</f>
        <v>0</v>
      </c>
      <c r="O44" s="23">
        <f>'Työaika jäsen 1'!I46+'Työaika jäsen 2'!I46+'Työaika jäsen 3'!I46+'Työaika jäsen 4'!I46</f>
        <v>0</v>
      </c>
      <c r="P44" s="23">
        <f>'Työaika jäsen 1'!J46+'Työaika jäsen 2'!J46+'Työaika jäsen 3'!J46+'Työaika jäsen 4'!J46</f>
        <v>0</v>
      </c>
      <c r="Q44" s="23">
        <f>'Työaika jäsen 1'!K46+'Työaika jäsen 2'!K46+'Työaika jäsen 3'!K46+'Työaika jäsen 4'!K46</f>
        <v>0</v>
      </c>
      <c r="R44" s="23">
        <f>'Työaika jäsen 1'!L46+'Työaika jäsen 2'!L46+'Työaika jäsen 3'!L46+'Työaika jäsen 4'!L46</f>
        <v>0</v>
      </c>
      <c r="S44" s="19">
        <f t="shared" ref="S44:S58" si="12">SUM(I44:R44)</f>
        <v>0</v>
      </c>
    </row>
    <row r="45" spans="1:26" ht="14.25" customHeight="1" x14ac:dyDescent="0.3">
      <c r="A45" s="51">
        <v>45988</v>
      </c>
      <c r="B45" s="23">
        <f>'Työaika jäsen 1'!B47</f>
        <v>0</v>
      </c>
      <c r="C45" s="23">
        <f>'Työaika jäsen 2'!B47</f>
        <v>0</v>
      </c>
      <c r="D45" s="23">
        <f>'Työaika jäsen 3'!B47</f>
        <v>0</v>
      </c>
      <c r="E45" s="23">
        <f>'Työaika jäsen 4'!B47</f>
        <v>0</v>
      </c>
      <c r="F45" s="23">
        <f t="shared" si="11"/>
        <v>0</v>
      </c>
      <c r="H45" s="51">
        <v>45958</v>
      </c>
      <c r="I45" s="23">
        <f>'Työaika jäsen 1'!C47+'Työaika jäsen 2'!C47+'Työaika jäsen 3'!C47+'Työaika jäsen 4'!C47</f>
        <v>0</v>
      </c>
      <c r="J45" s="23">
        <f>'Työaika jäsen 1'!D47+'Työaika jäsen 2'!D47+'Työaika jäsen 3'!D47+'Työaika jäsen 4'!D47</f>
        <v>0</v>
      </c>
      <c r="K45" s="23">
        <f>'Työaika jäsen 1'!E47+'Työaika jäsen 2'!E47+'Työaika jäsen 3'!E47+'Työaika jäsen 4'!E47</f>
        <v>0</v>
      </c>
      <c r="L45" s="23">
        <f>'Työaika jäsen 1'!F47+'Työaika jäsen 2'!F47+'Työaika jäsen 3'!F47+'Työaika jäsen 4'!F47</f>
        <v>0</v>
      </c>
      <c r="M45" s="23">
        <f>'Työaika jäsen 1'!G47+'Työaika jäsen 2'!G47+'Työaika jäsen 3'!G47+'Työaika jäsen 4'!G47</f>
        <v>0</v>
      </c>
      <c r="N45" s="23">
        <f>'Työaika jäsen 1'!H47+'Työaika jäsen 2'!H47+'Työaika jäsen 3'!H47+'Työaika jäsen 4'!H47</f>
        <v>0</v>
      </c>
      <c r="O45" s="23">
        <f>'Työaika jäsen 1'!I47+'Työaika jäsen 2'!I47+'Työaika jäsen 3'!I47+'Työaika jäsen 4'!I47</f>
        <v>0</v>
      </c>
      <c r="P45" s="23">
        <f>'Työaika jäsen 1'!J47+'Työaika jäsen 2'!J47+'Työaika jäsen 3'!J47+'Työaika jäsen 4'!J47</f>
        <v>0</v>
      </c>
      <c r="Q45" s="23">
        <f>'Työaika jäsen 1'!K47+'Työaika jäsen 2'!K47+'Työaika jäsen 3'!K47+'Työaika jäsen 4'!K47</f>
        <v>0</v>
      </c>
      <c r="R45" s="23">
        <f>'Työaika jäsen 1'!L47+'Työaika jäsen 2'!L47+'Työaika jäsen 3'!L47+'Työaika jäsen 4'!L47</f>
        <v>0</v>
      </c>
      <c r="S45" s="19">
        <f t="shared" si="12"/>
        <v>0</v>
      </c>
    </row>
    <row r="46" spans="1:26" ht="14.25" customHeight="1" x14ac:dyDescent="0.3">
      <c r="A46" s="51">
        <v>45989</v>
      </c>
      <c r="B46" s="23">
        <f>'Työaika jäsen 1'!B48</f>
        <v>0</v>
      </c>
      <c r="C46" s="23">
        <f>'Työaika jäsen 2'!B48</f>
        <v>0</v>
      </c>
      <c r="D46" s="23">
        <f>'Työaika jäsen 3'!B48</f>
        <v>0</v>
      </c>
      <c r="E46" s="23">
        <f>'Työaika jäsen 4'!B48</f>
        <v>0</v>
      </c>
      <c r="F46" s="23">
        <f t="shared" si="11"/>
        <v>0</v>
      </c>
      <c r="H46" s="51">
        <v>45959</v>
      </c>
      <c r="I46" s="23">
        <f>'Työaika jäsen 1'!C48+'Työaika jäsen 2'!C48+'Työaika jäsen 3'!C48+'Työaika jäsen 4'!C48</f>
        <v>0</v>
      </c>
      <c r="J46" s="23">
        <f>'Työaika jäsen 1'!D48+'Työaika jäsen 2'!D48+'Työaika jäsen 3'!D48+'Työaika jäsen 4'!D48</f>
        <v>0</v>
      </c>
      <c r="K46" s="23">
        <f>'Työaika jäsen 1'!E48+'Työaika jäsen 2'!E48+'Työaika jäsen 3'!E48+'Työaika jäsen 4'!E48</f>
        <v>0</v>
      </c>
      <c r="L46" s="23">
        <f>'Työaika jäsen 1'!F48+'Työaika jäsen 2'!F48+'Työaika jäsen 3'!F48+'Työaika jäsen 4'!F48</f>
        <v>0</v>
      </c>
      <c r="M46" s="23">
        <f>'Työaika jäsen 1'!G48+'Työaika jäsen 2'!G48+'Työaika jäsen 3'!G48+'Työaika jäsen 4'!G48</f>
        <v>0</v>
      </c>
      <c r="N46" s="23">
        <f>'Työaika jäsen 1'!H48+'Työaika jäsen 2'!H48+'Työaika jäsen 3'!H48+'Työaika jäsen 4'!H48</f>
        <v>0</v>
      </c>
      <c r="O46" s="23">
        <f>'Työaika jäsen 1'!I48+'Työaika jäsen 2'!I48+'Työaika jäsen 3'!I48+'Työaika jäsen 4'!I48</f>
        <v>0</v>
      </c>
      <c r="P46" s="23">
        <f>'Työaika jäsen 1'!J48+'Työaika jäsen 2'!J48+'Työaika jäsen 3'!J48+'Työaika jäsen 4'!J48</f>
        <v>0</v>
      </c>
      <c r="Q46" s="23">
        <f>'Työaika jäsen 1'!K48+'Työaika jäsen 2'!K48+'Työaika jäsen 3'!K48+'Työaika jäsen 4'!K48</f>
        <v>0</v>
      </c>
      <c r="R46" s="23">
        <f>'Työaika jäsen 1'!L48+'Työaika jäsen 2'!L48+'Työaika jäsen 3'!L48+'Työaika jäsen 4'!L48</f>
        <v>0</v>
      </c>
      <c r="S46" s="19">
        <f t="shared" si="12"/>
        <v>0</v>
      </c>
    </row>
    <row r="47" spans="1:26" ht="14.25" customHeight="1" x14ac:dyDescent="0.3">
      <c r="A47" s="51">
        <v>45990</v>
      </c>
      <c r="B47" s="23">
        <f>'Työaika jäsen 1'!B49</f>
        <v>0</v>
      </c>
      <c r="C47" s="23">
        <f>'Työaika jäsen 2'!B49</f>
        <v>0</v>
      </c>
      <c r="D47" s="23">
        <f>'Työaika jäsen 3'!B49</f>
        <v>0</v>
      </c>
      <c r="E47" s="23">
        <f>'Työaika jäsen 4'!B49</f>
        <v>0</v>
      </c>
      <c r="F47" s="23">
        <f t="shared" si="11"/>
        <v>0</v>
      </c>
      <c r="H47" s="51">
        <v>45960</v>
      </c>
      <c r="I47" s="23">
        <f>'Työaika jäsen 1'!C49+'Työaika jäsen 2'!C49+'Työaika jäsen 3'!C49+'Työaika jäsen 4'!C49</f>
        <v>0</v>
      </c>
      <c r="J47" s="23">
        <f>'Työaika jäsen 1'!D49+'Työaika jäsen 2'!D49+'Työaika jäsen 3'!D49+'Työaika jäsen 4'!D49</f>
        <v>0</v>
      </c>
      <c r="K47" s="23">
        <f>'Työaika jäsen 1'!E49+'Työaika jäsen 2'!E49+'Työaika jäsen 3'!E49+'Työaika jäsen 4'!E49</f>
        <v>0</v>
      </c>
      <c r="L47" s="23">
        <f>'Työaika jäsen 1'!F49+'Työaika jäsen 2'!F49+'Työaika jäsen 3'!F49+'Työaika jäsen 4'!F49</f>
        <v>0</v>
      </c>
      <c r="M47" s="23">
        <f>'Työaika jäsen 1'!G49+'Työaika jäsen 2'!G49+'Työaika jäsen 3'!G49+'Työaika jäsen 4'!G49</f>
        <v>0</v>
      </c>
      <c r="N47" s="23">
        <f>'Työaika jäsen 1'!H49+'Työaika jäsen 2'!H49+'Työaika jäsen 3'!H49+'Työaika jäsen 4'!H49</f>
        <v>0</v>
      </c>
      <c r="O47" s="23">
        <f>'Työaika jäsen 1'!I49+'Työaika jäsen 2'!I49+'Työaika jäsen 3'!I49+'Työaika jäsen 4'!I49</f>
        <v>0</v>
      </c>
      <c r="P47" s="23">
        <f>'Työaika jäsen 1'!J49+'Työaika jäsen 2'!J49+'Työaika jäsen 3'!J49+'Työaika jäsen 4'!J49</f>
        <v>0</v>
      </c>
      <c r="Q47" s="23">
        <f>'Työaika jäsen 1'!K49+'Työaika jäsen 2'!K49+'Työaika jäsen 3'!K49+'Työaika jäsen 4'!K49</f>
        <v>0</v>
      </c>
      <c r="R47" s="23">
        <f>'Työaika jäsen 1'!L49+'Työaika jäsen 2'!L49+'Työaika jäsen 3'!L49+'Työaika jäsen 4'!L49</f>
        <v>0</v>
      </c>
      <c r="S47" s="19">
        <f t="shared" si="12"/>
        <v>0</v>
      </c>
    </row>
    <row r="48" spans="1:26" ht="14.25" customHeight="1" x14ac:dyDescent="0.3">
      <c r="A48" s="51">
        <v>45991</v>
      </c>
      <c r="B48" s="23">
        <f>'Työaika jäsen 1'!B50</f>
        <v>0</v>
      </c>
      <c r="C48" s="23">
        <f>'Työaika jäsen 2'!B50</f>
        <v>0</v>
      </c>
      <c r="D48" s="23">
        <f>'Työaika jäsen 3'!B50</f>
        <v>0</v>
      </c>
      <c r="E48" s="23">
        <f>'Työaika jäsen 4'!B50</f>
        <v>0</v>
      </c>
      <c r="F48" s="23">
        <f t="shared" si="11"/>
        <v>0</v>
      </c>
      <c r="H48" s="51">
        <v>45961</v>
      </c>
      <c r="I48" s="23">
        <f>'Työaika jäsen 1'!C50+'Työaika jäsen 2'!C50+'Työaika jäsen 3'!C50+'Työaika jäsen 4'!C50</f>
        <v>0</v>
      </c>
      <c r="J48" s="23">
        <f>'Työaika jäsen 1'!D50+'Työaika jäsen 2'!D50+'Työaika jäsen 3'!D50+'Työaika jäsen 4'!D50</f>
        <v>0</v>
      </c>
      <c r="K48" s="23">
        <f>'Työaika jäsen 1'!E50+'Työaika jäsen 2'!E50+'Työaika jäsen 3'!E50+'Työaika jäsen 4'!E50</f>
        <v>0</v>
      </c>
      <c r="L48" s="23">
        <f>'Työaika jäsen 1'!F50+'Työaika jäsen 2'!F50+'Työaika jäsen 3'!F50+'Työaika jäsen 4'!F50</f>
        <v>0</v>
      </c>
      <c r="M48" s="23">
        <f>'Työaika jäsen 1'!G50+'Työaika jäsen 2'!G50+'Työaika jäsen 3'!G50+'Työaika jäsen 4'!G50</f>
        <v>0</v>
      </c>
      <c r="N48" s="23">
        <f>'Työaika jäsen 1'!H50+'Työaika jäsen 2'!H50+'Työaika jäsen 3'!H50+'Työaika jäsen 4'!H50</f>
        <v>0</v>
      </c>
      <c r="O48" s="23">
        <f>'Työaika jäsen 1'!I50+'Työaika jäsen 2'!I50+'Työaika jäsen 3'!I50+'Työaika jäsen 4'!I50</f>
        <v>0</v>
      </c>
      <c r="P48" s="23">
        <f>'Työaika jäsen 1'!J50+'Työaika jäsen 2'!J50+'Työaika jäsen 3'!J50+'Työaika jäsen 4'!J50</f>
        <v>0</v>
      </c>
      <c r="Q48" s="23">
        <f>'Työaika jäsen 1'!K50+'Työaika jäsen 2'!K50+'Työaika jäsen 3'!K50+'Työaika jäsen 4'!K50</f>
        <v>0</v>
      </c>
      <c r="R48" s="23">
        <f>'Työaika jäsen 1'!L50+'Työaika jäsen 2'!L50+'Työaika jäsen 3'!L50+'Työaika jäsen 4'!L50</f>
        <v>0</v>
      </c>
      <c r="S48" s="19">
        <f t="shared" si="12"/>
        <v>0</v>
      </c>
    </row>
    <row r="49" spans="1:26" ht="14.25" customHeight="1" x14ac:dyDescent="0.3">
      <c r="A49" s="51">
        <v>45992</v>
      </c>
      <c r="B49" s="23">
        <f>'Työaika jäsen 1'!B51</f>
        <v>0</v>
      </c>
      <c r="C49" s="23">
        <f>'Työaika jäsen 2'!B51</f>
        <v>0</v>
      </c>
      <c r="D49" s="23">
        <f>'Työaika jäsen 3'!B51</f>
        <v>0</v>
      </c>
      <c r="E49" s="23">
        <f>'Työaika jäsen 4'!B51</f>
        <v>0</v>
      </c>
      <c r="F49" s="23">
        <f t="shared" si="11"/>
        <v>0</v>
      </c>
      <c r="H49" s="51">
        <v>45962</v>
      </c>
      <c r="I49" s="23">
        <f>'Työaika jäsen 1'!C51+'Työaika jäsen 2'!C51+'Työaika jäsen 3'!C51+'Työaika jäsen 4'!C51</f>
        <v>0</v>
      </c>
      <c r="J49" s="23">
        <f>'Työaika jäsen 1'!D51+'Työaika jäsen 2'!D51+'Työaika jäsen 3'!D51+'Työaika jäsen 4'!D51</f>
        <v>0</v>
      </c>
      <c r="K49" s="23">
        <f>'Työaika jäsen 1'!E51+'Työaika jäsen 2'!E51+'Työaika jäsen 3'!E51+'Työaika jäsen 4'!E51</f>
        <v>0</v>
      </c>
      <c r="L49" s="23">
        <f>'Työaika jäsen 1'!F51+'Työaika jäsen 2'!F51+'Työaika jäsen 3'!F51+'Työaika jäsen 4'!F51</f>
        <v>0</v>
      </c>
      <c r="M49" s="23">
        <f>'Työaika jäsen 1'!G51+'Työaika jäsen 2'!G51+'Työaika jäsen 3'!G51+'Työaika jäsen 4'!G51</f>
        <v>0</v>
      </c>
      <c r="N49" s="23">
        <f>'Työaika jäsen 1'!H51+'Työaika jäsen 2'!H51+'Työaika jäsen 3'!H51+'Työaika jäsen 4'!H51</f>
        <v>0</v>
      </c>
      <c r="O49" s="23">
        <f>'Työaika jäsen 1'!I51+'Työaika jäsen 2'!I51+'Työaika jäsen 3'!I51+'Työaika jäsen 4'!I51</f>
        <v>0</v>
      </c>
      <c r="P49" s="23">
        <f>'Työaika jäsen 1'!J51+'Työaika jäsen 2'!J51+'Työaika jäsen 3'!J51+'Työaika jäsen 4'!J51</f>
        <v>0</v>
      </c>
      <c r="Q49" s="23">
        <f>'Työaika jäsen 1'!K51+'Työaika jäsen 2'!K51+'Työaika jäsen 3'!K51+'Työaika jäsen 4'!K51</f>
        <v>0</v>
      </c>
      <c r="R49" s="23">
        <f>'Työaika jäsen 1'!L51+'Työaika jäsen 2'!L51+'Työaika jäsen 3'!L51+'Työaika jäsen 4'!L51</f>
        <v>0</v>
      </c>
      <c r="S49" s="19">
        <f t="shared" si="12"/>
        <v>0</v>
      </c>
    </row>
    <row r="50" spans="1:26" ht="14.25" customHeight="1" x14ac:dyDescent="0.3">
      <c r="A50" s="51">
        <v>45993</v>
      </c>
      <c r="B50" s="23">
        <f>'Työaika jäsen 1'!B52</f>
        <v>0</v>
      </c>
      <c r="C50" s="23">
        <f>'Työaika jäsen 2'!B52</f>
        <v>0</v>
      </c>
      <c r="D50" s="23">
        <f>'Työaika jäsen 3'!B52</f>
        <v>0</v>
      </c>
      <c r="E50" s="23">
        <f>'Työaika jäsen 4'!B52</f>
        <v>0</v>
      </c>
      <c r="F50" s="23">
        <f t="shared" si="11"/>
        <v>0</v>
      </c>
      <c r="H50" s="51">
        <v>45963</v>
      </c>
      <c r="I50" s="23">
        <f>'Työaika jäsen 1'!C52+'Työaika jäsen 2'!C52+'Työaika jäsen 3'!C52+'Työaika jäsen 4'!C52</f>
        <v>0</v>
      </c>
      <c r="J50" s="23">
        <f>'Työaika jäsen 1'!D52+'Työaika jäsen 2'!D52+'Työaika jäsen 3'!D52+'Työaika jäsen 4'!D52</f>
        <v>0</v>
      </c>
      <c r="K50" s="23">
        <f>'Työaika jäsen 1'!E52+'Työaika jäsen 2'!E52+'Työaika jäsen 3'!E52+'Työaika jäsen 4'!E52</f>
        <v>0</v>
      </c>
      <c r="L50" s="23">
        <f>'Työaika jäsen 1'!F52+'Työaika jäsen 2'!F52+'Työaika jäsen 3'!F52+'Työaika jäsen 4'!F52</f>
        <v>0</v>
      </c>
      <c r="M50" s="23">
        <f>'Työaika jäsen 1'!G52+'Työaika jäsen 2'!G52+'Työaika jäsen 3'!G52+'Työaika jäsen 4'!G52</f>
        <v>0</v>
      </c>
      <c r="N50" s="23">
        <f>'Työaika jäsen 1'!H52+'Työaika jäsen 2'!H52+'Työaika jäsen 3'!H52+'Työaika jäsen 4'!H52</f>
        <v>0</v>
      </c>
      <c r="O50" s="23">
        <f>'Työaika jäsen 1'!I52+'Työaika jäsen 2'!I52+'Työaika jäsen 3'!I52+'Työaika jäsen 4'!I52</f>
        <v>0</v>
      </c>
      <c r="P50" s="23">
        <f>'Työaika jäsen 1'!J52+'Työaika jäsen 2'!J52+'Työaika jäsen 3'!J52+'Työaika jäsen 4'!J52</f>
        <v>0</v>
      </c>
      <c r="Q50" s="23">
        <f>'Työaika jäsen 1'!K52+'Työaika jäsen 2'!K52+'Työaika jäsen 3'!K52+'Työaika jäsen 4'!K52</f>
        <v>0</v>
      </c>
      <c r="R50" s="23">
        <f>'Työaika jäsen 1'!L52+'Työaika jäsen 2'!L52+'Työaika jäsen 3'!L52+'Työaika jäsen 4'!L52</f>
        <v>0</v>
      </c>
      <c r="S50" s="19">
        <f t="shared" si="12"/>
        <v>0</v>
      </c>
    </row>
    <row r="51" spans="1:26" ht="14.25" customHeight="1" x14ac:dyDescent="0.3">
      <c r="A51" s="51">
        <v>45994</v>
      </c>
      <c r="B51" s="23">
        <f>'Työaika jäsen 1'!B53</f>
        <v>0</v>
      </c>
      <c r="C51" s="23">
        <f>'Työaika jäsen 2'!B53</f>
        <v>0</v>
      </c>
      <c r="D51" s="23">
        <f>'Työaika jäsen 3'!B53</f>
        <v>0</v>
      </c>
      <c r="E51" s="23">
        <f>'Työaika jäsen 4'!B53</f>
        <v>0</v>
      </c>
      <c r="F51" s="23">
        <f t="shared" si="11"/>
        <v>0</v>
      </c>
      <c r="H51" s="51">
        <v>45964</v>
      </c>
      <c r="I51" s="23">
        <f>'Työaika jäsen 1'!C53+'Työaika jäsen 2'!C53+'Työaika jäsen 3'!C53+'Työaika jäsen 4'!C53</f>
        <v>0</v>
      </c>
      <c r="J51" s="23">
        <f>'Työaika jäsen 1'!D53+'Työaika jäsen 2'!D53+'Työaika jäsen 3'!D53+'Työaika jäsen 4'!D53</f>
        <v>0</v>
      </c>
      <c r="K51" s="23">
        <f>'Työaika jäsen 1'!E53+'Työaika jäsen 2'!E53+'Työaika jäsen 3'!E53+'Työaika jäsen 4'!E53</f>
        <v>0</v>
      </c>
      <c r="L51" s="23">
        <f>'Työaika jäsen 1'!F53+'Työaika jäsen 2'!F53+'Työaika jäsen 3'!F53+'Työaika jäsen 4'!F53</f>
        <v>0</v>
      </c>
      <c r="M51" s="23">
        <f>'Työaika jäsen 1'!G53+'Työaika jäsen 2'!G53+'Työaika jäsen 3'!G53+'Työaika jäsen 4'!G53</f>
        <v>0</v>
      </c>
      <c r="N51" s="23">
        <f>'Työaika jäsen 1'!H53+'Työaika jäsen 2'!H53+'Työaika jäsen 3'!H53+'Työaika jäsen 4'!H53</f>
        <v>0</v>
      </c>
      <c r="O51" s="23">
        <f>'Työaika jäsen 1'!I53+'Työaika jäsen 2'!I53+'Työaika jäsen 3'!I53+'Työaika jäsen 4'!I53</f>
        <v>0</v>
      </c>
      <c r="P51" s="23">
        <f>'Työaika jäsen 1'!J53+'Työaika jäsen 2'!J53+'Työaika jäsen 3'!J53+'Työaika jäsen 4'!J53</f>
        <v>0</v>
      </c>
      <c r="Q51" s="23">
        <f>'Työaika jäsen 1'!K53+'Työaika jäsen 2'!K53+'Työaika jäsen 3'!K53+'Työaika jäsen 4'!K53</f>
        <v>0</v>
      </c>
      <c r="R51" s="23">
        <f>'Työaika jäsen 1'!L53+'Työaika jäsen 2'!L53+'Työaika jäsen 3'!L53+'Työaika jäsen 4'!L53</f>
        <v>0</v>
      </c>
      <c r="S51" s="19">
        <f t="shared" si="12"/>
        <v>0</v>
      </c>
    </row>
    <row r="52" spans="1:26" ht="14.25" customHeight="1" x14ac:dyDescent="0.3">
      <c r="A52" s="51">
        <v>45995</v>
      </c>
      <c r="B52" s="23">
        <f>'Työaika jäsen 1'!B54</f>
        <v>0</v>
      </c>
      <c r="C52" s="23">
        <f>'Työaika jäsen 2'!B54</f>
        <v>0</v>
      </c>
      <c r="D52" s="23">
        <f>'Työaika jäsen 3'!B54</f>
        <v>0</v>
      </c>
      <c r="E52" s="23">
        <f>'Työaika jäsen 4'!B54</f>
        <v>0</v>
      </c>
      <c r="F52" s="23">
        <f t="shared" si="11"/>
        <v>0</v>
      </c>
      <c r="H52" s="51">
        <v>45965</v>
      </c>
      <c r="I52" s="23">
        <f>'Työaika jäsen 1'!C54+'Työaika jäsen 2'!C54+'Työaika jäsen 3'!C54+'Työaika jäsen 4'!C54</f>
        <v>0</v>
      </c>
      <c r="J52" s="23">
        <f>'Työaika jäsen 1'!D54+'Työaika jäsen 2'!D54+'Työaika jäsen 3'!D54+'Työaika jäsen 4'!D54</f>
        <v>0</v>
      </c>
      <c r="K52" s="23">
        <f>'Työaika jäsen 1'!E54+'Työaika jäsen 2'!E54+'Työaika jäsen 3'!E54+'Työaika jäsen 4'!E54</f>
        <v>0</v>
      </c>
      <c r="L52" s="23">
        <f>'Työaika jäsen 1'!F54+'Työaika jäsen 2'!F54+'Työaika jäsen 3'!F54+'Työaika jäsen 4'!F54</f>
        <v>0</v>
      </c>
      <c r="M52" s="23">
        <f>'Työaika jäsen 1'!G54+'Työaika jäsen 2'!G54+'Työaika jäsen 3'!G54+'Työaika jäsen 4'!G54</f>
        <v>0</v>
      </c>
      <c r="N52" s="23">
        <f>'Työaika jäsen 1'!H54+'Työaika jäsen 2'!H54+'Työaika jäsen 3'!H54+'Työaika jäsen 4'!H54</f>
        <v>0</v>
      </c>
      <c r="O52" s="23">
        <f>'Työaika jäsen 1'!I54+'Työaika jäsen 2'!I54+'Työaika jäsen 3'!I54+'Työaika jäsen 4'!I54</f>
        <v>0</v>
      </c>
      <c r="P52" s="23">
        <f>'Työaika jäsen 1'!J54+'Työaika jäsen 2'!J54+'Työaika jäsen 3'!J54+'Työaika jäsen 4'!J54</f>
        <v>0</v>
      </c>
      <c r="Q52" s="23">
        <f>'Työaika jäsen 1'!K54+'Työaika jäsen 2'!K54+'Työaika jäsen 3'!K54+'Työaika jäsen 4'!K54</f>
        <v>0</v>
      </c>
      <c r="R52" s="23">
        <f>'Työaika jäsen 1'!L54+'Työaika jäsen 2'!L54+'Työaika jäsen 3'!L54+'Työaika jäsen 4'!L54</f>
        <v>0</v>
      </c>
      <c r="S52" s="19">
        <f t="shared" si="12"/>
        <v>0</v>
      </c>
    </row>
    <row r="53" spans="1:26" ht="14.25" customHeight="1" x14ac:dyDescent="0.3">
      <c r="A53" s="51">
        <v>45996</v>
      </c>
      <c r="B53" s="23">
        <f>'Työaika jäsen 1'!B55</f>
        <v>0</v>
      </c>
      <c r="C53" s="23">
        <f>'Työaika jäsen 2'!B55</f>
        <v>0</v>
      </c>
      <c r="D53" s="23">
        <f>'Työaika jäsen 3'!B55</f>
        <v>0</v>
      </c>
      <c r="E53" s="23">
        <f>'Työaika jäsen 4'!B55</f>
        <v>0</v>
      </c>
      <c r="F53" s="23">
        <f t="shared" si="11"/>
        <v>0</v>
      </c>
      <c r="H53" s="51">
        <v>45966</v>
      </c>
      <c r="I53" s="23">
        <f>'Työaika jäsen 1'!C55+'Työaika jäsen 2'!C55+'Työaika jäsen 3'!C55+'Työaika jäsen 4'!C55</f>
        <v>0</v>
      </c>
      <c r="J53" s="23">
        <f>'Työaika jäsen 1'!D55+'Työaika jäsen 2'!D55+'Työaika jäsen 3'!D55+'Työaika jäsen 4'!D55</f>
        <v>0</v>
      </c>
      <c r="K53" s="23">
        <f>'Työaika jäsen 1'!E55+'Työaika jäsen 2'!E55+'Työaika jäsen 3'!E55+'Työaika jäsen 4'!E55</f>
        <v>0</v>
      </c>
      <c r="L53" s="23">
        <f>'Työaika jäsen 1'!F55+'Työaika jäsen 2'!F55+'Työaika jäsen 3'!F55+'Työaika jäsen 4'!F55</f>
        <v>0</v>
      </c>
      <c r="M53" s="23">
        <f>'Työaika jäsen 1'!G55+'Työaika jäsen 2'!G55+'Työaika jäsen 3'!G55+'Työaika jäsen 4'!G55</f>
        <v>0</v>
      </c>
      <c r="N53" s="23">
        <f>'Työaika jäsen 1'!H55+'Työaika jäsen 2'!H55+'Työaika jäsen 3'!H55+'Työaika jäsen 4'!H55</f>
        <v>0</v>
      </c>
      <c r="O53" s="23">
        <f>'Työaika jäsen 1'!I55+'Työaika jäsen 2'!I55+'Työaika jäsen 3'!I55+'Työaika jäsen 4'!I55</f>
        <v>0</v>
      </c>
      <c r="P53" s="23">
        <f>'Työaika jäsen 1'!J55+'Työaika jäsen 2'!J55+'Työaika jäsen 3'!J55+'Työaika jäsen 4'!J55</f>
        <v>0</v>
      </c>
      <c r="Q53" s="23">
        <f>'Työaika jäsen 1'!K55+'Työaika jäsen 2'!K55+'Työaika jäsen 3'!K55+'Työaika jäsen 4'!K55</f>
        <v>0</v>
      </c>
      <c r="R53" s="23">
        <f>'Työaika jäsen 1'!L55+'Työaika jäsen 2'!L55+'Työaika jäsen 3'!L55+'Työaika jäsen 4'!L55</f>
        <v>0</v>
      </c>
      <c r="S53" s="19">
        <f t="shared" si="12"/>
        <v>0</v>
      </c>
    </row>
    <row r="54" spans="1:26" ht="14.25" customHeight="1" x14ac:dyDescent="0.3">
      <c r="A54" s="51">
        <v>45997</v>
      </c>
      <c r="B54" s="23">
        <f>'Työaika jäsen 1'!B56</f>
        <v>0</v>
      </c>
      <c r="C54" s="23">
        <f>'Työaika jäsen 2'!B56</f>
        <v>0</v>
      </c>
      <c r="D54" s="23">
        <f>'Työaika jäsen 3'!B56</f>
        <v>0</v>
      </c>
      <c r="E54" s="23">
        <f>'Työaika jäsen 4'!B56</f>
        <v>0</v>
      </c>
      <c r="F54" s="23">
        <f t="shared" si="11"/>
        <v>0</v>
      </c>
      <c r="H54" s="51">
        <v>45967</v>
      </c>
      <c r="I54" s="23">
        <f>'Työaika jäsen 1'!C56+'Työaika jäsen 2'!C56+'Työaika jäsen 3'!C56+'Työaika jäsen 4'!C56</f>
        <v>0</v>
      </c>
      <c r="J54" s="23">
        <f>'Työaika jäsen 1'!D56+'Työaika jäsen 2'!D56+'Työaika jäsen 3'!D56+'Työaika jäsen 4'!D56</f>
        <v>0</v>
      </c>
      <c r="K54" s="23">
        <f>'Työaika jäsen 1'!E56+'Työaika jäsen 2'!E56+'Työaika jäsen 3'!E56+'Työaika jäsen 4'!E56</f>
        <v>0</v>
      </c>
      <c r="L54" s="23">
        <f>'Työaika jäsen 1'!F56+'Työaika jäsen 2'!F56+'Työaika jäsen 3'!F56+'Työaika jäsen 4'!F56</f>
        <v>0</v>
      </c>
      <c r="M54" s="23">
        <f>'Työaika jäsen 1'!G56+'Työaika jäsen 2'!G56+'Työaika jäsen 3'!G56+'Työaika jäsen 4'!G56</f>
        <v>0</v>
      </c>
      <c r="N54" s="23">
        <f>'Työaika jäsen 1'!H56+'Työaika jäsen 2'!H56+'Työaika jäsen 3'!H56+'Työaika jäsen 4'!H56</f>
        <v>0</v>
      </c>
      <c r="O54" s="23">
        <f>'Työaika jäsen 1'!I56+'Työaika jäsen 2'!I56+'Työaika jäsen 3'!I56+'Työaika jäsen 4'!I56</f>
        <v>0</v>
      </c>
      <c r="P54" s="23">
        <f>'Työaika jäsen 1'!J56+'Työaika jäsen 2'!J56+'Työaika jäsen 3'!J56+'Työaika jäsen 4'!J56</f>
        <v>0</v>
      </c>
      <c r="Q54" s="23">
        <f>'Työaika jäsen 1'!K56+'Työaika jäsen 2'!K56+'Työaika jäsen 3'!K56+'Työaika jäsen 4'!K56</f>
        <v>0</v>
      </c>
      <c r="R54" s="23">
        <f>'Työaika jäsen 1'!L56+'Työaika jäsen 2'!L56+'Työaika jäsen 3'!L56+'Työaika jäsen 4'!L56</f>
        <v>0</v>
      </c>
      <c r="S54" s="19">
        <f t="shared" si="12"/>
        <v>0</v>
      </c>
    </row>
    <row r="55" spans="1:26" ht="14.25" customHeight="1" x14ac:dyDescent="0.3">
      <c r="A55" s="51">
        <v>45998</v>
      </c>
      <c r="B55" s="23">
        <f>'Työaika jäsen 1'!B57</f>
        <v>0</v>
      </c>
      <c r="C55" s="23">
        <f>'Työaika jäsen 2'!B57</f>
        <v>0</v>
      </c>
      <c r="D55" s="23">
        <f>'Työaika jäsen 3'!B57</f>
        <v>0</v>
      </c>
      <c r="E55" s="23">
        <f>'Työaika jäsen 4'!B57</f>
        <v>0</v>
      </c>
      <c r="F55" s="23">
        <f t="shared" si="11"/>
        <v>0</v>
      </c>
      <c r="H55" s="51">
        <v>45968</v>
      </c>
      <c r="I55" s="23">
        <f>'Työaika jäsen 1'!C57+'Työaika jäsen 2'!C57+'Työaika jäsen 3'!C57+'Työaika jäsen 4'!C57</f>
        <v>0</v>
      </c>
      <c r="J55" s="23">
        <f>'Työaika jäsen 1'!D57+'Työaika jäsen 2'!D57+'Työaika jäsen 3'!D57+'Työaika jäsen 4'!D57</f>
        <v>0</v>
      </c>
      <c r="K55" s="23">
        <f>'Työaika jäsen 1'!E57+'Työaika jäsen 2'!E57+'Työaika jäsen 3'!E57+'Työaika jäsen 4'!E57</f>
        <v>0</v>
      </c>
      <c r="L55" s="23">
        <f>'Työaika jäsen 1'!F57+'Työaika jäsen 2'!F57+'Työaika jäsen 3'!F57+'Työaika jäsen 4'!F57</f>
        <v>0</v>
      </c>
      <c r="M55" s="23">
        <f>'Työaika jäsen 1'!G57+'Työaika jäsen 2'!G57+'Työaika jäsen 3'!G57+'Työaika jäsen 4'!G57</f>
        <v>0</v>
      </c>
      <c r="N55" s="23">
        <f>'Työaika jäsen 1'!H57+'Työaika jäsen 2'!H57+'Työaika jäsen 3'!H57+'Työaika jäsen 4'!H57</f>
        <v>0</v>
      </c>
      <c r="O55" s="23">
        <f>'Työaika jäsen 1'!I57+'Työaika jäsen 2'!I57+'Työaika jäsen 3'!I57+'Työaika jäsen 4'!I57</f>
        <v>0</v>
      </c>
      <c r="P55" s="23">
        <f>'Työaika jäsen 1'!J57+'Työaika jäsen 2'!J57+'Työaika jäsen 3'!J57+'Työaika jäsen 4'!J57</f>
        <v>0</v>
      </c>
      <c r="Q55" s="23">
        <f>'Työaika jäsen 1'!K57+'Työaika jäsen 2'!K57+'Työaika jäsen 3'!K57+'Työaika jäsen 4'!K57</f>
        <v>0</v>
      </c>
      <c r="R55" s="23">
        <f>'Työaika jäsen 1'!L57+'Työaika jäsen 2'!L57+'Työaika jäsen 3'!L57+'Työaika jäsen 4'!L57</f>
        <v>0</v>
      </c>
      <c r="S55" s="19">
        <f t="shared" si="12"/>
        <v>0</v>
      </c>
    </row>
    <row r="56" spans="1:26" ht="14.25" customHeight="1" x14ac:dyDescent="0.3">
      <c r="A56" s="51">
        <v>45999</v>
      </c>
      <c r="B56" s="23">
        <f>'Työaika jäsen 1'!B58</f>
        <v>0</v>
      </c>
      <c r="C56" s="23">
        <f>'Työaika jäsen 2'!B58</f>
        <v>0</v>
      </c>
      <c r="D56" s="23">
        <f>'Työaika jäsen 3'!B58</f>
        <v>0</v>
      </c>
      <c r="E56" s="23">
        <f>'Työaika jäsen 4'!B58</f>
        <v>0</v>
      </c>
      <c r="F56" s="23">
        <f t="shared" si="11"/>
        <v>0</v>
      </c>
      <c r="H56" s="51">
        <v>45969</v>
      </c>
      <c r="I56" s="23">
        <f>'Työaika jäsen 1'!C58+'Työaika jäsen 2'!C58+'Työaika jäsen 3'!C58+'Työaika jäsen 4'!C58</f>
        <v>0</v>
      </c>
      <c r="J56" s="23">
        <f>'Työaika jäsen 1'!D58+'Työaika jäsen 2'!D58+'Työaika jäsen 3'!D58+'Työaika jäsen 4'!D58</f>
        <v>0</v>
      </c>
      <c r="K56" s="23">
        <f>'Työaika jäsen 1'!E58+'Työaika jäsen 2'!E58+'Työaika jäsen 3'!E58+'Työaika jäsen 4'!E58</f>
        <v>0</v>
      </c>
      <c r="L56" s="23">
        <f>'Työaika jäsen 1'!F58+'Työaika jäsen 2'!F58+'Työaika jäsen 3'!F58+'Työaika jäsen 4'!F58</f>
        <v>0</v>
      </c>
      <c r="M56" s="23">
        <f>'Työaika jäsen 1'!G58+'Työaika jäsen 2'!G58+'Työaika jäsen 3'!G58+'Työaika jäsen 4'!G58</f>
        <v>0</v>
      </c>
      <c r="N56" s="23">
        <f>'Työaika jäsen 1'!H58+'Työaika jäsen 2'!H58+'Työaika jäsen 3'!H58+'Työaika jäsen 4'!H58</f>
        <v>0</v>
      </c>
      <c r="O56" s="23">
        <f>'Työaika jäsen 1'!I58+'Työaika jäsen 2'!I58+'Työaika jäsen 3'!I58+'Työaika jäsen 4'!I58</f>
        <v>0</v>
      </c>
      <c r="P56" s="23">
        <f>'Työaika jäsen 1'!J58+'Työaika jäsen 2'!J58+'Työaika jäsen 3'!J58+'Työaika jäsen 4'!J58</f>
        <v>0</v>
      </c>
      <c r="Q56" s="23">
        <f>'Työaika jäsen 1'!K58+'Työaika jäsen 2'!K58+'Työaika jäsen 3'!K58+'Työaika jäsen 4'!K58</f>
        <v>0</v>
      </c>
      <c r="R56" s="23">
        <f>'Työaika jäsen 1'!L58+'Työaika jäsen 2'!L58+'Työaika jäsen 3'!L58+'Työaika jäsen 4'!L58</f>
        <v>0</v>
      </c>
      <c r="S56" s="19">
        <f t="shared" si="12"/>
        <v>0</v>
      </c>
    </row>
    <row r="57" spans="1:26" ht="14.25" customHeight="1" x14ac:dyDescent="0.3">
      <c r="A57" s="51">
        <v>46000</v>
      </c>
      <c r="B57" s="23">
        <f>'Työaika jäsen 1'!B59</f>
        <v>0</v>
      </c>
      <c r="C57" s="23">
        <f>'Työaika jäsen 2'!B59</f>
        <v>0</v>
      </c>
      <c r="D57" s="23">
        <f>'Työaika jäsen 3'!B59</f>
        <v>0</v>
      </c>
      <c r="E57" s="23">
        <f>'Työaika jäsen 4'!B59</f>
        <v>0</v>
      </c>
      <c r="F57" s="23">
        <f t="shared" si="11"/>
        <v>0</v>
      </c>
      <c r="H57" s="51">
        <v>45970</v>
      </c>
      <c r="I57" s="23">
        <f>'Työaika jäsen 1'!C59+'Työaika jäsen 2'!C59+'Työaika jäsen 3'!C59+'Työaika jäsen 4'!C59</f>
        <v>0</v>
      </c>
      <c r="J57" s="23">
        <f>'Työaika jäsen 1'!D59+'Työaika jäsen 2'!D59+'Työaika jäsen 3'!D59+'Työaika jäsen 4'!D59</f>
        <v>0</v>
      </c>
      <c r="K57" s="23">
        <f>'Työaika jäsen 1'!E59+'Työaika jäsen 2'!E59+'Työaika jäsen 3'!E59+'Työaika jäsen 4'!E59</f>
        <v>0</v>
      </c>
      <c r="L57" s="23">
        <f>'Työaika jäsen 1'!F59+'Työaika jäsen 2'!F59+'Työaika jäsen 3'!F59+'Työaika jäsen 4'!F59</f>
        <v>0</v>
      </c>
      <c r="M57" s="23">
        <f>'Työaika jäsen 1'!G59+'Työaika jäsen 2'!G59+'Työaika jäsen 3'!G59+'Työaika jäsen 4'!G59</f>
        <v>0</v>
      </c>
      <c r="N57" s="23">
        <f>'Työaika jäsen 1'!H59+'Työaika jäsen 2'!H59+'Työaika jäsen 3'!H59+'Työaika jäsen 4'!H59</f>
        <v>0</v>
      </c>
      <c r="O57" s="23">
        <f>'Työaika jäsen 1'!I59+'Työaika jäsen 2'!I59+'Työaika jäsen 3'!I59+'Työaika jäsen 4'!I59</f>
        <v>0</v>
      </c>
      <c r="P57" s="23">
        <f>'Työaika jäsen 1'!J59+'Työaika jäsen 2'!J59+'Työaika jäsen 3'!J59+'Työaika jäsen 4'!J59</f>
        <v>0</v>
      </c>
      <c r="Q57" s="23">
        <f>'Työaika jäsen 1'!K59+'Työaika jäsen 2'!K59+'Työaika jäsen 3'!K59+'Työaika jäsen 4'!K59</f>
        <v>0</v>
      </c>
      <c r="R57" s="23">
        <f>'Työaika jäsen 1'!L59+'Työaika jäsen 2'!L59+'Työaika jäsen 3'!L59+'Työaika jäsen 4'!L59</f>
        <v>0</v>
      </c>
      <c r="S57" s="19">
        <f t="shared" si="12"/>
        <v>0</v>
      </c>
    </row>
    <row r="58" spans="1:26" ht="14.25" customHeight="1" x14ac:dyDescent="0.3">
      <c r="A58" s="51">
        <v>46001</v>
      </c>
      <c r="B58" s="23">
        <f>'Työaika jäsen 1'!B60</f>
        <v>0</v>
      </c>
      <c r="C58" s="23">
        <f>'Työaika jäsen 2'!B60</f>
        <v>0</v>
      </c>
      <c r="D58" s="23">
        <f>'Työaika jäsen 3'!B60</f>
        <v>0</v>
      </c>
      <c r="E58" s="23">
        <f>'Työaika jäsen 4'!B60</f>
        <v>0</v>
      </c>
      <c r="F58" s="23">
        <f t="shared" si="11"/>
        <v>0</v>
      </c>
      <c r="H58" s="51">
        <v>45971</v>
      </c>
      <c r="I58" s="23">
        <f>'Työaika jäsen 1'!C60+'Työaika jäsen 2'!C60+'Työaika jäsen 3'!C60+'Työaika jäsen 4'!C60</f>
        <v>0</v>
      </c>
      <c r="J58" s="23">
        <f>'Työaika jäsen 1'!D60+'Työaika jäsen 2'!D60+'Työaika jäsen 3'!D60+'Työaika jäsen 4'!D60</f>
        <v>0</v>
      </c>
      <c r="K58" s="23">
        <f>'Työaika jäsen 1'!E60+'Työaika jäsen 2'!E60+'Työaika jäsen 3'!E60+'Työaika jäsen 4'!E60</f>
        <v>0</v>
      </c>
      <c r="L58" s="23">
        <f>'Työaika jäsen 1'!F60+'Työaika jäsen 2'!F60+'Työaika jäsen 3'!F60+'Työaika jäsen 4'!F60</f>
        <v>0</v>
      </c>
      <c r="M58" s="23">
        <f>'Työaika jäsen 1'!G60+'Työaika jäsen 2'!G60+'Työaika jäsen 3'!G60+'Työaika jäsen 4'!G60</f>
        <v>0</v>
      </c>
      <c r="N58" s="23">
        <f>'Työaika jäsen 1'!H60+'Työaika jäsen 2'!H60+'Työaika jäsen 3'!H60+'Työaika jäsen 4'!H60</f>
        <v>0</v>
      </c>
      <c r="O58" s="23">
        <f>'Työaika jäsen 1'!I60+'Työaika jäsen 2'!I60+'Työaika jäsen 3'!I60+'Työaika jäsen 4'!I60</f>
        <v>0</v>
      </c>
      <c r="P58" s="23">
        <f>'Työaika jäsen 1'!J60+'Työaika jäsen 2'!J60+'Työaika jäsen 3'!J60+'Työaika jäsen 4'!J60</f>
        <v>0</v>
      </c>
      <c r="Q58" s="23">
        <f>'Työaika jäsen 1'!K60+'Työaika jäsen 2'!K60+'Työaika jäsen 3'!K60+'Työaika jäsen 4'!K60</f>
        <v>0</v>
      </c>
      <c r="R58" s="23">
        <f>'Työaika jäsen 1'!L60+'Työaika jäsen 2'!L60+'Työaika jäsen 3'!L60+'Työaika jäsen 4'!L60</f>
        <v>0</v>
      </c>
      <c r="S58" s="19">
        <f t="shared" si="12"/>
        <v>0</v>
      </c>
    </row>
    <row r="59" spans="1:26" ht="14.25" customHeight="1" x14ac:dyDescent="0.3">
      <c r="A59" s="62" t="s">
        <v>196</v>
      </c>
      <c r="B59" s="63">
        <f t="shared" ref="B59:F59" si="13">SUM(B44:B58)</f>
        <v>0</v>
      </c>
      <c r="C59" s="63">
        <f t="shared" si="13"/>
        <v>0</v>
      </c>
      <c r="D59" s="63">
        <f t="shared" si="13"/>
        <v>0</v>
      </c>
      <c r="E59" s="63">
        <f t="shared" si="13"/>
        <v>0</v>
      </c>
      <c r="F59" s="63">
        <f t="shared" si="13"/>
        <v>0</v>
      </c>
      <c r="H59" s="62" t="s">
        <v>196</v>
      </c>
      <c r="I59" s="63">
        <f t="shared" ref="I59:S59" si="14">SUM(I44:I58)</f>
        <v>0</v>
      </c>
      <c r="J59" s="63">
        <f t="shared" si="14"/>
        <v>0</v>
      </c>
      <c r="K59" s="63">
        <f t="shared" si="14"/>
        <v>0</v>
      </c>
      <c r="L59" s="63">
        <f t="shared" si="14"/>
        <v>0</v>
      </c>
      <c r="M59" s="63">
        <f t="shared" si="14"/>
        <v>0</v>
      </c>
      <c r="N59" s="63">
        <f t="shared" si="14"/>
        <v>0</v>
      </c>
      <c r="O59" s="63">
        <f t="shared" si="14"/>
        <v>0</v>
      </c>
      <c r="P59" s="63">
        <f t="shared" si="14"/>
        <v>0</v>
      </c>
      <c r="Q59" s="63">
        <f t="shared" si="14"/>
        <v>0</v>
      </c>
      <c r="R59" s="63">
        <f t="shared" si="14"/>
        <v>0</v>
      </c>
      <c r="S59" s="63">
        <f t="shared" si="14"/>
        <v>0</v>
      </c>
    </row>
    <row r="60" spans="1:26" ht="14.25" customHeight="1" x14ac:dyDescent="0.3">
      <c r="A60" s="54" t="s">
        <v>197</v>
      </c>
      <c r="B60" s="55">
        <f t="shared" ref="B60:F60" si="15">B41+B59</f>
        <v>19</v>
      </c>
      <c r="C60" s="55">
        <f t="shared" si="15"/>
        <v>0</v>
      </c>
      <c r="D60" s="55">
        <f t="shared" si="15"/>
        <v>0</v>
      </c>
      <c r="E60" s="55">
        <f t="shared" si="15"/>
        <v>0</v>
      </c>
      <c r="F60" s="55">
        <f t="shared" si="15"/>
        <v>19</v>
      </c>
      <c r="G60" s="56"/>
      <c r="H60" s="54"/>
      <c r="I60" s="55"/>
      <c r="J60" s="55"/>
      <c r="K60" s="55"/>
      <c r="L60" s="55"/>
      <c r="M60" s="55"/>
      <c r="N60" s="57"/>
      <c r="O60" s="57"/>
      <c r="P60" s="57"/>
      <c r="Q60" s="57"/>
      <c r="R60" s="57"/>
      <c r="S60" s="57"/>
      <c r="T60" s="56"/>
      <c r="U60" s="56"/>
      <c r="V60" s="56"/>
      <c r="W60" s="56"/>
      <c r="X60" s="56"/>
      <c r="Y60" s="56"/>
      <c r="Z60" s="56"/>
    </row>
    <row r="61" spans="1:26" ht="14.25" customHeight="1" x14ac:dyDescent="0.3">
      <c r="A61" s="48"/>
      <c r="B61" s="45"/>
      <c r="C61" s="45"/>
      <c r="D61" s="45"/>
      <c r="E61" s="45"/>
      <c r="F61" s="45"/>
    </row>
    <row r="62" spans="1:26" ht="14.25" customHeight="1" x14ac:dyDescent="0.3">
      <c r="A62" s="48"/>
      <c r="B62" s="45"/>
      <c r="C62" s="45"/>
      <c r="D62" s="45"/>
      <c r="E62" s="45"/>
      <c r="F62" s="45"/>
    </row>
    <row r="63" spans="1:26" ht="14.25" customHeight="1" x14ac:dyDescent="0.3">
      <c r="A63" s="48"/>
      <c r="B63" s="45"/>
      <c r="C63" s="45"/>
      <c r="D63" s="45"/>
      <c r="E63" s="45"/>
      <c r="F63" s="45"/>
    </row>
    <row r="64" spans="1:26" ht="14.25" customHeight="1" x14ac:dyDescent="0.3">
      <c r="A64" s="48"/>
      <c r="B64" s="45"/>
      <c r="C64" s="45"/>
      <c r="D64" s="45"/>
      <c r="E64" s="45"/>
      <c r="F64" s="45"/>
    </row>
    <row r="65" spans="1:6" ht="14.25" customHeight="1" x14ac:dyDescent="0.3">
      <c r="A65" s="48"/>
      <c r="B65" s="45"/>
      <c r="C65" s="45"/>
      <c r="D65" s="45"/>
      <c r="E65" s="45"/>
      <c r="F65" s="45"/>
    </row>
    <row r="66" spans="1:6" ht="14.25" customHeight="1" x14ac:dyDescent="0.3">
      <c r="A66" s="48"/>
      <c r="B66" s="45"/>
      <c r="C66" s="45"/>
      <c r="D66" s="45"/>
      <c r="E66" s="45"/>
      <c r="F66" s="45"/>
    </row>
    <row r="67" spans="1:6" ht="14.25" customHeight="1" x14ac:dyDescent="0.3">
      <c r="A67" s="48"/>
      <c r="B67" s="45"/>
      <c r="C67" s="45"/>
      <c r="D67" s="45"/>
      <c r="E67" s="45"/>
      <c r="F67" s="45"/>
    </row>
    <row r="68" spans="1:6" ht="14.25" customHeight="1" x14ac:dyDescent="0.3">
      <c r="A68" s="48"/>
      <c r="B68" s="45"/>
      <c r="C68" s="45"/>
      <c r="D68" s="45"/>
      <c r="E68" s="45"/>
      <c r="F68" s="45"/>
    </row>
    <row r="69" spans="1:6" ht="14.25" customHeight="1" x14ac:dyDescent="0.3">
      <c r="A69" s="48"/>
      <c r="B69" s="45"/>
      <c r="C69" s="45"/>
      <c r="D69" s="45"/>
      <c r="E69" s="45"/>
      <c r="F69" s="45"/>
    </row>
    <row r="70" spans="1:6" ht="14.25" customHeight="1" x14ac:dyDescent="0.3">
      <c r="A70" s="48"/>
      <c r="B70" s="45"/>
      <c r="C70" s="45"/>
      <c r="D70" s="45"/>
      <c r="E70" s="45"/>
      <c r="F70" s="45"/>
    </row>
    <row r="71" spans="1:6" ht="14.25" customHeight="1" x14ac:dyDescent="0.3">
      <c r="A71" s="48"/>
      <c r="B71" s="45"/>
      <c r="C71" s="45"/>
      <c r="D71" s="45"/>
      <c r="E71" s="45"/>
      <c r="F71" s="45"/>
    </row>
    <row r="72" spans="1:6" ht="14.25" customHeight="1" x14ac:dyDescent="0.3">
      <c r="A72" s="48"/>
      <c r="B72" s="45"/>
      <c r="C72" s="45"/>
      <c r="D72" s="45"/>
      <c r="E72" s="45"/>
      <c r="F72" s="45"/>
    </row>
    <row r="73" spans="1:6" ht="14.25" customHeight="1" x14ac:dyDescent="0.3">
      <c r="A73" s="48"/>
      <c r="B73" s="45"/>
      <c r="C73" s="45"/>
      <c r="D73" s="45"/>
      <c r="E73" s="45"/>
      <c r="F73" s="45"/>
    </row>
    <row r="74" spans="1:6" ht="14.25" customHeight="1" x14ac:dyDescent="0.3">
      <c r="A74" s="48"/>
      <c r="B74" s="45"/>
      <c r="C74" s="45"/>
      <c r="D74" s="45"/>
      <c r="E74" s="45"/>
      <c r="F74" s="45"/>
    </row>
    <row r="75" spans="1:6" ht="14.25" customHeight="1" x14ac:dyDescent="0.3">
      <c r="A75" s="48"/>
      <c r="B75" s="45"/>
      <c r="C75" s="45"/>
      <c r="D75" s="45"/>
      <c r="E75" s="45"/>
      <c r="F75" s="45"/>
    </row>
    <row r="76" spans="1:6" ht="14.25" customHeight="1" x14ac:dyDescent="0.3">
      <c r="A76" s="48"/>
      <c r="B76" s="45"/>
      <c r="C76" s="45"/>
      <c r="D76" s="45"/>
      <c r="E76" s="45"/>
      <c r="F76" s="45"/>
    </row>
    <row r="77" spans="1:6" ht="14.25" customHeight="1" x14ac:dyDescent="0.3">
      <c r="A77" s="48"/>
      <c r="B77" s="45"/>
      <c r="C77" s="45"/>
      <c r="D77" s="45"/>
      <c r="E77" s="45"/>
      <c r="F77" s="45"/>
    </row>
    <row r="78" spans="1:6" ht="14.25" customHeight="1" x14ac:dyDescent="0.3">
      <c r="A78" s="48"/>
      <c r="B78" s="45"/>
      <c r="C78" s="45"/>
      <c r="D78" s="45"/>
      <c r="E78" s="45"/>
      <c r="F78" s="45"/>
    </row>
    <row r="79" spans="1:6" ht="14.25" customHeight="1" x14ac:dyDescent="0.3">
      <c r="A79" s="48"/>
      <c r="B79" s="45"/>
      <c r="C79" s="45"/>
      <c r="D79" s="45"/>
      <c r="E79" s="45"/>
      <c r="F79" s="45"/>
    </row>
    <row r="80" spans="1:6" ht="14.25" customHeight="1" x14ac:dyDescent="0.3">
      <c r="A80" s="48"/>
      <c r="B80" s="45"/>
      <c r="C80" s="45"/>
      <c r="D80" s="45"/>
      <c r="E80" s="45"/>
      <c r="F80" s="45"/>
    </row>
    <row r="81" spans="1:6" ht="14.25" customHeight="1" x14ac:dyDescent="0.3">
      <c r="A81" s="48"/>
      <c r="B81" s="45"/>
      <c r="C81" s="45"/>
      <c r="D81" s="45"/>
      <c r="E81" s="45"/>
      <c r="F81" s="45"/>
    </row>
    <row r="82" spans="1:6" ht="14.25" customHeight="1" x14ac:dyDescent="0.3">
      <c r="A82" s="48"/>
      <c r="B82" s="45"/>
      <c r="C82" s="45"/>
      <c r="D82" s="45"/>
      <c r="E82" s="45"/>
      <c r="F82" s="45"/>
    </row>
    <row r="83" spans="1:6" ht="14.25" customHeight="1" x14ac:dyDescent="0.3">
      <c r="A83" s="48"/>
      <c r="B83" s="45"/>
      <c r="C83" s="45"/>
      <c r="D83" s="45"/>
      <c r="E83" s="45"/>
      <c r="F83" s="45"/>
    </row>
    <row r="84" spans="1:6" ht="14.25" customHeight="1" x14ac:dyDescent="0.3">
      <c r="A84" s="48"/>
      <c r="B84" s="45"/>
      <c r="C84" s="45"/>
      <c r="D84" s="45"/>
      <c r="E84" s="45"/>
      <c r="F84" s="45"/>
    </row>
    <row r="85" spans="1:6" ht="14.25" customHeight="1" x14ac:dyDescent="0.3">
      <c r="A85" s="48"/>
      <c r="B85" s="45"/>
      <c r="C85" s="45"/>
      <c r="D85" s="45"/>
      <c r="E85" s="45"/>
      <c r="F85" s="45"/>
    </row>
    <row r="86" spans="1:6" ht="14.25" customHeight="1" x14ac:dyDescent="0.3">
      <c r="A86" s="48"/>
      <c r="B86" s="45"/>
      <c r="C86" s="45"/>
      <c r="D86" s="45"/>
      <c r="E86" s="45"/>
      <c r="F86" s="45"/>
    </row>
    <row r="87" spans="1:6" ht="14.25" customHeight="1" x14ac:dyDescent="0.3">
      <c r="A87" s="48"/>
      <c r="B87" s="45"/>
      <c r="C87" s="45"/>
      <c r="D87" s="45"/>
      <c r="E87" s="45"/>
      <c r="F87" s="45"/>
    </row>
    <row r="88" spans="1:6" ht="14.25" customHeight="1" x14ac:dyDescent="0.3">
      <c r="A88" s="48"/>
      <c r="B88" s="45"/>
      <c r="C88" s="45"/>
      <c r="D88" s="45"/>
      <c r="E88" s="45"/>
      <c r="F88" s="45"/>
    </row>
    <row r="89" spans="1:6" ht="14.25" customHeight="1" x14ac:dyDescent="0.3">
      <c r="A89" s="48"/>
      <c r="B89" s="45"/>
      <c r="C89" s="45"/>
      <c r="D89" s="45"/>
      <c r="E89" s="45"/>
      <c r="F89" s="45"/>
    </row>
    <row r="90" spans="1:6" ht="14.25" customHeight="1" x14ac:dyDescent="0.3">
      <c r="A90" s="48"/>
      <c r="B90" s="45"/>
      <c r="C90" s="45"/>
      <c r="D90" s="45"/>
      <c r="E90" s="45"/>
      <c r="F90" s="45"/>
    </row>
    <row r="91" spans="1:6" ht="14.25" customHeight="1" x14ac:dyDescent="0.3">
      <c r="A91" s="48"/>
      <c r="B91" s="45"/>
      <c r="C91" s="45"/>
      <c r="D91" s="45"/>
      <c r="E91" s="45"/>
      <c r="F91" s="45"/>
    </row>
    <row r="92" spans="1:6" ht="14.25" customHeight="1" x14ac:dyDescent="0.3">
      <c r="A92" s="48"/>
      <c r="B92" s="45"/>
      <c r="C92" s="45"/>
      <c r="D92" s="45"/>
      <c r="E92" s="45"/>
      <c r="F92" s="45"/>
    </row>
    <row r="93" spans="1:6" ht="14.25" customHeight="1" x14ac:dyDescent="0.3">
      <c r="A93" s="48"/>
      <c r="B93" s="45"/>
      <c r="C93" s="45"/>
      <c r="D93" s="45"/>
      <c r="E93" s="45"/>
      <c r="F93" s="45"/>
    </row>
    <row r="94" spans="1:6" ht="14.25" customHeight="1" x14ac:dyDescent="0.3">
      <c r="A94" s="48"/>
      <c r="B94" s="45"/>
      <c r="C94" s="45"/>
      <c r="D94" s="45"/>
      <c r="E94" s="45"/>
      <c r="F94" s="45"/>
    </row>
    <row r="95" spans="1:6" ht="14.25" customHeight="1" x14ac:dyDescent="0.3">
      <c r="A95" s="48"/>
      <c r="B95" s="45"/>
      <c r="C95" s="45"/>
      <c r="D95" s="45"/>
      <c r="E95" s="45"/>
      <c r="F95" s="45"/>
    </row>
    <row r="96" spans="1:6" ht="14.25" customHeight="1" x14ac:dyDescent="0.3">
      <c r="A96" s="48"/>
      <c r="B96" s="45"/>
      <c r="C96" s="45"/>
      <c r="D96" s="45"/>
      <c r="E96" s="45"/>
      <c r="F96" s="45"/>
    </row>
    <row r="97" spans="1:6" ht="14.25" customHeight="1" x14ac:dyDescent="0.3">
      <c r="A97" s="48"/>
      <c r="B97" s="45"/>
      <c r="C97" s="45"/>
      <c r="D97" s="45"/>
      <c r="E97" s="45"/>
      <c r="F97" s="45"/>
    </row>
    <row r="98" spans="1:6" ht="14.25" customHeight="1" x14ac:dyDescent="0.3">
      <c r="A98" s="48"/>
      <c r="B98" s="45"/>
      <c r="C98" s="45"/>
      <c r="D98" s="45"/>
      <c r="E98" s="45"/>
      <c r="F98" s="45"/>
    </row>
    <row r="99" spans="1:6" ht="14.25" customHeight="1" x14ac:dyDescent="0.3">
      <c r="A99" s="48"/>
      <c r="B99" s="45"/>
      <c r="C99" s="45"/>
      <c r="D99" s="45"/>
      <c r="E99" s="45"/>
      <c r="F99" s="45"/>
    </row>
    <row r="100" spans="1:6" ht="14.25" customHeight="1" x14ac:dyDescent="0.3">
      <c r="A100" s="48"/>
      <c r="B100" s="45"/>
      <c r="C100" s="45"/>
      <c r="D100" s="45"/>
      <c r="E100" s="45"/>
      <c r="F100" s="45"/>
    </row>
    <row r="101" spans="1:6" ht="14.25" customHeight="1" x14ac:dyDescent="0.3">
      <c r="A101" s="48"/>
      <c r="B101" s="45"/>
      <c r="C101" s="45"/>
      <c r="D101" s="45"/>
      <c r="E101" s="45"/>
      <c r="F101" s="45"/>
    </row>
    <row r="102" spans="1:6" ht="14.25" customHeight="1" x14ac:dyDescent="0.3">
      <c r="A102" s="48"/>
      <c r="B102" s="45"/>
      <c r="C102" s="45"/>
      <c r="D102" s="45"/>
      <c r="E102" s="45"/>
      <c r="F102" s="45"/>
    </row>
    <row r="103" spans="1:6" ht="14.25" customHeight="1" x14ac:dyDescent="0.3">
      <c r="A103" s="48"/>
      <c r="B103" s="45"/>
      <c r="C103" s="45"/>
      <c r="D103" s="45"/>
      <c r="E103" s="45"/>
      <c r="F103" s="45"/>
    </row>
    <row r="104" spans="1:6" ht="14.25" customHeight="1" x14ac:dyDescent="0.3">
      <c r="A104" s="48"/>
      <c r="B104" s="45"/>
      <c r="C104" s="45"/>
      <c r="D104" s="45"/>
      <c r="E104" s="45"/>
      <c r="F104" s="45"/>
    </row>
    <row r="105" spans="1:6" ht="14.25" customHeight="1" x14ac:dyDescent="0.3">
      <c r="A105" s="48"/>
      <c r="B105" s="45"/>
      <c r="C105" s="45"/>
      <c r="D105" s="45"/>
      <c r="E105" s="45"/>
      <c r="F105" s="45"/>
    </row>
    <row r="106" spans="1:6" ht="14.25" customHeight="1" x14ac:dyDescent="0.3">
      <c r="A106" s="48"/>
      <c r="B106" s="45"/>
      <c r="C106" s="45"/>
      <c r="D106" s="45"/>
      <c r="E106" s="45"/>
      <c r="F106" s="45"/>
    </row>
    <row r="107" spans="1:6" ht="14.25" customHeight="1" x14ac:dyDescent="0.3">
      <c r="A107" s="48"/>
      <c r="B107" s="45"/>
      <c r="C107" s="45"/>
      <c r="D107" s="45"/>
      <c r="E107" s="45"/>
      <c r="F107" s="45"/>
    </row>
    <row r="108" spans="1:6" ht="14.25" customHeight="1" x14ac:dyDescent="0.3">
      <c r="A108" s="48"/>
      <c r="B108" s="45"/>
      <c r="C108" s="45"/>
      <c r="D108" s="45"/>
      <c r="E108" s="45"/>
      <c r="F108" s="45"/>
    </row>
    <row r="109" spans="1:6" ht="14.25" customHeight="1" x14ac:dyDescent="0.3">
      <c r="A109" s="48"/>
      <c r="B109" s="45"/>
      <c r="C109" s="45"/>
      <c r="D109" s="45"/>
      <c r="E109" s="45"/>
      <c r="F109" s="45"/>
    </row>
    <row r="110" spans="1:6" ht="14.25" customHeight="1" x14ac:dyDescent="0.3">
      <c r="A110" s="48"/>
      <c r="B110" s="45"/>
      <c r="C110" s="45"/>
      <c r="D110" s="45"/>
      <c r="E110" s="45"/>
      <c r="F110" s="45"/>
    </row>
    <row r="111" spans="1:6" ht="14.25" customHeight="1" x14ac:dyDescent="0.3">
      <c r="A111" s="48"/>
      <c r="B111" s="45"/>
      <c r="C111" s="45"/>
      <c r="D111" s="45"/>
      <c r="E111" s="45"/>
      <c r="F111" s="45"/>
    </row>
    <row r="112" spans="1:6" ht="14.25" customHeight="1" x14ac:dyDescent="0.3">
      <c r="A112" s="48"/>
      <c r="B112" s="45"/>
      <c r="C112" s="45"/>
      <c r="D112" s="45"/>
      <c r="E112" s="45"/>
      <c r="F112" s="45"/>
    </row>
    <row r="113" spans="1:6" ht="14.25" customHeight="1" x14ac:dyDescent="0.3">
      <c r="A113" s="48"/>
      <c r="B113" s="45"/>
      <c r="C113" s="45"/>
      <c r="D113" s="45"/>
      <c r="E113" s="45"/>
      <c r="F113" s="45"/>
    </row>
    <row r="114" spans="1:6" ht="14.25" customHeight="1" x14ac:dyDescent="0.3">
      <c r="A114" s="48"/>
      <c r="B114" s="45"/>
      <c r="C114" s="45"/>
      <c r="D114" s="45"/>
      <c r="E114" s="45"/>
      <c r="F114" s="45"/>
    </row>
    <row r="115" spans="1:6" ht="14.25" customHeight="1" x14ac:dyDescent="0.3">
      <c r="A115" s="48"/>
      <c r="B115" s="45"/>
      <c r="C115" s="45"/>
      <c r="D115" s="45"/>
      <c r="E115" s="45"/>
      <c r="F115" s="45"/>
    </row>
    <row r="116" spans="1:6" ht="14.25" customHeight="1" x14ac:dyDescent="0.3">
      <c r="A116" s="48"/>
      <c r="B116" s="45"/>
      <c r="C116" s="45"/>
      <c r="D116" s="45"/>
      <c r="E116" s="45"/>
      <c r="F116" s="45"/>
    </row>
    <row r="117" spans="1:6" ht="14.25" customHeight="1" x14ac:dyDescent="0.3">
      <c r="A117" s="48"/>
      <c r="B117" s="45"/>
      <c r="C117" s="45"/>
      <c r="D117" s="45"/>
      <c r="E117" s="45"/>
      <c r="F117" s="45"/>
    </row>
    <row r="118" spans="1:6" ht="14.25" customHeight="1" x14ac:dyDescent="0.3">
      <c r="A118" s="48"/>
      <c r="B118" s="45"/>
      <c r="C118" s="45"/>
      <c r="D118" s="45"/>
      <c r="E118" s="45"/>
      <c r="F118" s="45"/>
    </row>
    <row r="119" spans="1:6" ht="14.25" customHeight="1" x14ac:dyDescent="0.3">
      <c r="A119" s="48"/>
      <c r="B119" s="45"/>
      <c r="C119" s="45"/>
      <c r="D119" s="45"/>
      <c r="E119" s="45"/>
      <c r="F119" s="45"/>
    </row>
    <row r="120" spans="1:6" ht="14.25" customHeight="1" x14ac:dyDescent="0.3">
      <c r="A120" s="48"/>
      <c r="B120" s="45"/>
      <c r="C120" s="45"/>
      <c r="D120" s="45"/>
      <c r="E120" s="45"/>
      <c r="F120" s="45"/>
    </row>
    <row r="121" spans="1:6" ht="14.25" customHeight="1" x14ac:dyDescent="0.3">
      <c r="A121" s="48"/>
      <c r="B121" s="45"/>
      <c r="C121" s="45"/>
      <c r="D121" s="45"/>
      <c r="E121" s="45"/>
      <c r="F121" s="45"/>
    </row>
    <row r="122" spans="1:6" ht="14.25" customHeight="1" x14ac:dyDescent="0.3">
      <c r="A122" s="48"/>
      <c r="B122" s="45"/>
      <c r="C122" s="45"/>
      <c r="D122" s="45"/>
      <c r="E122" s="45"/>
      <c r="F122" s="45"/>
    </row>
    <row r="123" spans="1:6" ht="14.25" customHeight="1" x14ac:dyDescent="0.3">
      <c r="A123" s="48"/>
      <c r="B123" s="45"/>
      <c r="C123" s="45"/>
      <c r="D123" s="45"/>
      <c r="E123" s="45"/>
      <c r="F123" s="45"/>
    </row>
    <row r="124" spans="1:6" ht="14.25" customHeight="1" x14ac:dyDescent="0.3">
      <c r="A124" s="48"/>
      <c r="B124" s="45"/>
      <c r="C124" s="45"/>
      <c r="D124" s="45"/>
      <c r="E124" s="45"/>
      <c r="F124" s="45"/>
    </row>
    <row r="125" spans="1:6" ht="14.25" customHeight="1" x14ac:dyDescent="0.3">
      <c r="A125" s="48"/>
      <c r="B125" s="45"/>
      <c r="C125" s="45"/>
      <c r="D125" s="45"/>
      <c r="E125" s="45"/>
      <c r="F125" s="45"/>
    </row>
    <row r="126" spans="1:6" ht="14.25" customHeight="1" x14ac:dyDescent="0.3">
      <c r="A126" s="48"/>
      <c r="B126" s="45"/>
      <c r="C126" s="45"/>
      <c r="D126" s="45"/>
      <c r="E126" s="45"/>
      <c r="F126" s="45"/>
    </row>
    <row r="127" spans="1:6" ht="14.25" customHeight="1" x14ac:dyDescent="0.3">
      <c r="A127" s="48"/>
      <c r="B127" s="45"/>
      <c r="C127" s="45"/>
      <c r="D127" s="45"/>
      <c r="E127" s="45"/>
      <c r="F127" s="45"/>
    </row>
    <row r="128" spans="1:6" ht="14.25" customHeight="1" x14ac:dyDescent="0.3">
      <c r="A128" s="48"/>
      <c r="B128" s="45"/>
      <c r="C128" s="45"/>
      <c r="D128" s="45"/>
      <c r="E128" s="45"/>
      <c r="F128" s="45"/>
    </row>
    <row r="129" spans="1:6" ht="14.25" customHeight="1" x14ac:dyDescent="0.3">
      <c r="A129" s="48"/>
      <c r="B129" s="45"/>
      <c r="C129" s="45"/>
      <c r="D129" s="45"/>
      <c r="E129" s="45"/>
      <c r="F129" s="45"/>
    </row>
    <row r="130" spans="1:6" ht="14.25" customHeight="1" x14ac:dyDescent="0.3">
      <c r="A130" s="48"/>
      <c r="B130" s="45"/>
      <c r="C130" s="45"/>
      <c r="D130" s="45"/>
      <c r="E130" s="45"/>
      <c r="F130" s="45"/>
    </row>
    <row r="131" spans="1:6" ht="14.25" customHeight="1" x14ac:dyDescent="0.3">
      <c r="A131" s="48"/>
      <c r="B131" s="45"/>
      <c r="C131" s="45"/>
      <c r="D131" s="45"/>
      <c r="E131" s="45"/>
      <c r="F131" s="45"/>
    </row>
    <row r="132" spans="1:6" ht="14.25" customHeight="1" x14ac:dyDescent="0.3">
      <c r="A132" s="48"/>
      <c r="B132" s="45"/>
      <c r="C132" s="45"/>
      <c r="D132" s="45"/>
      <c r="E132" s="45"/>
      <c r="F132" s="45"/>
    </row>
    <row r="133" spans="1:6" ht="14.25" customHeight="1" x14ac:dyDescent="0.3">
      <c r="A133" s="48"/>
      <c r="B133" s="45"/>
      <c r="C133" s="45"/>
      <c r="D133" s="45"/>
      <c r="E133" s="45"/>
      <c r="F133" s="45"/>
    </row>
    <row r="134" spans="1:6" ht="14.25" customHeight="1" x14ac:dyDescent="0.3">
      <c r="A134" s="48"/>
      <c r="B134" s="45"/>
      <c r="C134" s="45"/>
      <c r="D134" s="45"/>
      <c r="E134" s="45"/>
      <c r="F134" s="45"/>
    </row>
    <row r="135" spans="1:6" ht="14.25" customHeight="1" x14ac:dyDescent="0.3">
      <c r="A135" s="48"/>
      <c r="B135" s="45"/>
      <c r="C135" s="45"/>
      <c r="D135" s="45"/>
      <c r="E135" s="45"/>
      <c r="F135" s="45"/>
    </row>
    <row r="136" spans="1:6" ht="14.25" customHeight="1" x14ac:dyDescent="0.3">
      <c r="A136" s="48"/>
      <c r="B136" s="45"/>
      <c r="C136" s="45"/>
      <c r="D136" s="45"/>
      <c r="E136" s="45"/>
      <c r="F136" s="45"/>
    </row>
    <row r="137" spans="1:6" ht="14.25" customHeight="1" x14ac:dyDescent="0.3">
      <c r="A137" s="48"/>
      <c r="B137" s="45"/>
      <c r="C137" s="45"/>
      <c r="D137" s="45"/>
      <c r="E137" s="45"/>
      <c r="F137" s="45"/>
    </row>
    <row r="138" spans="1:6" ht="14.25" customHeight="1" x14ac:dyDescent="0.3">
      <c r="A138" s="48"/>
      <c r="B138" s="45"/>
      <c r="C138" s="45"/>
      <c r="D138" s="45"/>
      <c r="E138" s="45"/>
      <c r="F138" s="45"/>
    </row>
    <row r="139" spans="1:6" ht="14.25" customHeight="1" x14ac:dyDescent="0.3">
      <c r="A139" s="48"/>
      <c r="B139" s="45"/>
      <c r="C139" s="45"/>
      <c r="D139" s="45"/>
      <c r="E139" s="45"/>
      <c r="F139" s="45"/>
    </row>
    <row r="140" spans="1:6" ht="14.25" customHeight="1" x14ac:dyDescent="0.3">
      <c r="A140" s="48"/>
      <c r="B140" s="45"/>
      <c r="C140" s="45"/>
      <c r="D140" s="45"/>
      <c r="E140" s="45"/>
      <c r="F140" s="45"/>
    </row>
    <row r="141" spans="1:6" ht="14.25" customHeight="1" x14ac:dyDescent="0.3">
      <c r="A141" s="48"/>
      <c r="B141" s="45"/>
      <c r="C141" s="45"/>
      <c r="D141" s="45"/>
      <c r="E141" s="45"/>
      <c r="F141" s="45"/>
    </row>
    <row r="142" spans="1:6" ht="14.25" customHeight="1" x14ac:dyDescent="0.3">
      <c r="A142" s="48"/>
      <c r="B142" s="45"/>
      <c r="C142" s="45"/>
      <c r="D142" s="45"/>
      <c r="E142" s="45"/>
      <c r="F142" s="45"/>
    </row>
    <row r="143" spans="1:6" ht="14.25" customHeight="1" x14ac:dyDescent="0.3">
      <c r="A143" s="48"/>
      <c r="B143" s="45"/>
      <c r="C143" s="45"/>
      <c r="D143" s="45"/>
      <c r="E143" s="45"/>
      <c r="F143" s="45"/>
    </row>
    <row r="144" spans="1:6" ht="14.25" customHeight="1" x14ac:dyDescent="0.3">
      <c r="A144" s="48"/>
      <c r="B144" s="45"/>
      <c r="C144" s="45"/>
      <c r="D144" s="45"/>
      <c r="E144" s="45"/>
      <c r="F144" s="45"/>
    </row>
    <row r="145" spans="1:6" ht="14.25" customHeight="1" x14ac:dyDescent="0.3">
      <c r="A145" s="48"/>
      <c r="B145" s="45"/>
      <c r="C145" s="45"/>
      <c r="D145" s="45"/>
      <c r="E145" s="45"/>
      <c r="F145" s="45"/>
    </row>
    <row r="146" spans="1:6" ht="14.25" customHeight="1" x14ac:dyDescent="0.3">
      <c r="A146" s="48"/>
      <c r="B146" s="45"/>
      <c r="C146" s="45"/>
      <c r="D146" s="45"/>
      <c r="E146" s="45"/>
      <c r="F146" s="45"/>
    </row>
    <row r="147" spans="1:6" ht="14.25" customHeight="1" x14ac:dyDescent="0.3">
      <c r="A147" s="48"/>
      <c r="B147" s="45"/>
      <c r="C147" s="45"/>
      <c r="D147" s="45"/>
      <c r="E147" s="45"/>
      <c r="F147" s="45"/>
    </row>
    <row r="148" spans="1:6" ht="14.25" customHeight="1" x14ac:dyDescent="0.3">
      <c r="A148" s="48"/>
      <c r="B148" s="45"/>
      <c r="C148" s="45"/>
      <c r="D148" s="45"/>
      <c r="E148" s="45"/>
      <c r="F148" s="45"/>
    </row>
    <row r="149" spans="1:6" ht="14.25" customHeight="1" x14ac:dyDescent="0.3">
      <c r="A149" s="48"/>
      <c r="B149" s="45"/>
      <c r="C149" s="45"/>
      <c r="D149" s="45"/>
      <c r="E149" s="45"/>
      <c r="F149" s="45"/>
    </row>
    <row r="150" spans="1:6" ht="14.25" customHeight="1" x14ac:dyDescent="0.3">
      <c r="A150" s="48"/>
      <c r="B150" s="45"/>
      <c r="C150" s="45"/>
      <c r="D150" s="45"/>
      <c r="E150" s="45"/>
      <c r="F150" s="45"/>
    </row>
    <row r="151" spans="1:6" ht="14.25" customHeight="1" x14ac:dyDescent="0.3">
      <c r="A151" s="48"/>
      <c r="B151" s="45"/>
      <c r="C151" s="45"/>
      <c r="D151" s="45"/>
      <c r="E151" s="45"/>
      <c r="F151" s="45"/>
    </row>
    <row r="152" spans="1:6" ht="14.25" customHeight="1" x14ac:dyDescent="0.3">
      <c r="A152" s="48"/>
      <c r="B152" s="45"/>
      <c r="C152" s="45"/>
      <c r="D152" s="45"/>
      <c r="E152" s="45"/>
      <c r="F152" s="45"/>
    </row>
    <row r="153" spans="1:6" ht="14.25" customHeight="1" x14ac:dyDescent="0.3">
      <c r="A153" s="48"/>
      <c r="B153" s="45"/>
      <c r="C153" s="45"/>
      <c r="D153" s="45"/>
      <c r="E153" s="45"/>
      <c r="F153" s="45"/>
    </row>
    <row r="154" spans="1:6" ht="14.25" customHeight="1" x14ac:dyDescent="0.3">
      <c r="A154" s="48"/>
      <c r="B154" s="45"/>
      <c r="C154" s="45"/>
      <c r="D154" s="45"/>
      <c r="E154" s="45"/>
      <c r="F154" s="45"/>
    </row>
    <row r="155" spans="1:6" ht="14.25" customHeight="1" x14ac:dyDescent="0.3">
      <c r="A155" s="48"/>
      <c r="B155" s="45"/>
      <c r="C155" s="45"/>
      <c r="D155" s="45"/>
      <c r="E155" s="45"/>
      <c r="F155" s="45"/>
    </row>
    <row r="156" spans="1:6" ht="14.25" customHeight="1" x14ac:dyDescent="0.3">
      <c r="A156" s="48"/>
      <c r="B156" s="45"/>
      <c r="C156" s="45"/>
      <c r="D156" s="45"/>
      <c r="E156" s="45"/>
      <c r="F156" s="45"/>
    </row>
    <row r="157" spans="1:6" ht="14.25" customHeight="1" x14ac:dyDescent="0.3">
      <c r="A157" s="48"/>
      <c r="B157" s="45"/>
      <c r="C157" s="45"/>
      <c r="D157" s="45"/>
      <c r="E157" s="45"/>
      <c r="F157" s="45"/>
    </row>
    <row r="158" spans="1:6" ht="14.25" customHeight="1" x14ac:dyDescent="0.3">
      <c r="A158" s="48"/>
      <c r="B158" s="45"/>
      <c r="C158" s="45"/>
      <c r="D158" s="45"/>
      <c r="E158" s="45"/>
      <c r="F158" s="45"/>
    </row>
    <row r="159" spans="1:6" ht="14.25" customHeight="1" x14ac:dyDescent="0.3">
      <c r="A159" s="48"/>
      <c r="B159" s="45"/>
      <c r="C159" s="45"/>
      <c r="D159" s="45"/>
      <c r="E159" s="45"/>
      <c r="F159" s="45"/>
    </row>
    <row r="160" spans="1:6" ht="14.25" customHeight="1" x14ac:dyDescent="0.3">
      <c r="A160" s="48"/>
      <c r="B160" s="45"/>
      <c r="C160" s="45"/>
      <c r="D160" s="45"/>
      <c r="E160" s="45"/>
      <c r="F160" s="45"/>
    </row>
    <row r="161" spans="1:6" ht="14.25" customHeight="1" x14ac:dyDescent="0.3">
      <c r="A161" s="48"/>
      <c r="B161" s="45"/>
      <c r="C161" s="45"/>
      <c r="D161" s="45"/>
      <c r="E161" s="45"/>
      <c r="F161" s="45"/>
    </row>
    <row r="162" spans="1:6" ht="14.25" customHeight="1" x14ac:dyDescent="0.3">
      <c r="A162" s="48"/>
      <c r="B162" s="45"/>
      <c r="C162" s="45"/>
      <c r="D162" s="45"/>
      <c r="E162" s="45"/>
      <c r="F162" s="45"/>
    </row>
    <row r="163" spans="1:6" ht="14.25" customHeight="1" x14ac:dyDescent="0.3">
      <c r="A163" s="48"/>
      <c r="B163" s="45"/>
      <c r="C163" s="45"/>
      <c r="D163" s="45"/>
      <c r="E163" s="45"/>
      <c r="F163" s="45"/>
    </row>
    <row r="164" spans="1:6" ht="14.25" customHeight="1" x14ac:dyDescent="0.3">
      <c r="A164" s="48"/>
      <c r="B164" s="45"/>
      <c r="C164" s="45"/>
      <c r="D164" s="45"/>
      <c r="E164" s="45"/>
      <c r="F164" s="45"/>
    </row>
    <row r="165" spans="1:6" ht="14.25" customHeight="1" x14ac:dyDescent="0.3">
      <c r="A165" s="48"/>
      <c r="B165" s="45"/>
      <c r="C165" s="45"/>
      <c r="D165" s="45"/>
      <c r="E165" s="45"/>
      <c r="F165" s="45"/>
    </row>
    <row r="166" spans="1:6" ht="14.25" customHeight="1" x14ac:dyDescent="0.3">
      <c r="A166" s="48"/>
      <c r="B166" s="45"/>
      <c r="C166" s="45"/>
      <c r="D166" s="45"/>
      <c r="E166" s="45"/>
      <c r="F166" s="45"/>
    </row>
    <row r="167" spans="1:6" ht="14.25" customHeight="1" x14ac:dyDescent="0.3">
      <c r="A167" s="48"/>
      <c r="B167" s="45"/>
      <c r="C167" s="45"/>
      <c r="D167" s="45"/>
      <c r="E167" s="45"/>
      <c r="F167" s="45"/>
    </row>
    <row r="168" spans="1:6" ht="14.25" customHeight="1" x14ac:dyDescent="0.3">
      <c r="A168" s="48"/>
      <c r="B168" s="45"/>
      <c r="C168" s="45"/>
      <c r="D168" s="45"/>
      <c r="E168" s="45"/>
      <c r="F168" s="45"/>
    </row>
    <row r="169" spans="1:6" ht="14.25" customHeight="1" x14ac:dyDescent="0.3">
      <c r="A169" s="48"/>
      <c r="B169" s="45"/>
      <c r="C169" s="45"/>
      <c r="D169" s="45"/>
      <c r="E169" s="45"/>
      <c r="F169" s="45"/>
    </row>
    <row r="170" spans="1:6" ht="14.25" customHeight="1" x14ac:dyDescent="0.3">
      <c r="A170" s="48"/>
      <c r="B170" s="45"/>
      <c r="C170" s="45"/>
      <c r="D170" s="45"/>
      <c r="E170" s="45"/>
      <c r="F170" s="45"/>
    </row>
    <row r="171" spans="1:6" ht="14.25" customHeight="1" x14ac:dyDescent="0.3">
      <c r="A171" s="48"/>
      <c r="B171" s="45"/>
      <c r="C171" s="45"/>
      <c r="D171" s="45"/>
      <c r="E171" s="45"/>
      <c r="F171" s="45"/>
    </row>
    <row r="172" spans="1:6" ht="14.25" customHeight="1" x14ac:dyDescent="0.3">
      <c r="A172" s="48"/>
      <c r="B172" s="45"/>
      <c r="C172" s="45"/>
      <c r="D172" s="45"/>
      <c r="E172" s="45"/>
      <c r="F172" s="45"/>
    </row>
    <row r="173" spans="1:6" ht="14.25" customHeight="1" x14ac:dyDescent="0.3">
      <c r="A173" s="48"/>
      <c r="B173" s="45"/>
      <c r="C173" s="45"/>
      <c r="D173" s="45"/>
      <c r="E173" s="45"/>
      <c r="F173" s="45"/>
    </row>
    <row r="174" spans="1:6" ht="14.25" customHeight="1" x14ac:dyDescent="0.3">
      <c r="A174" s="48"/>
      <c r="B174" s="45"/>
      <c r="C174" s="45"/>
      <c r="D174" s="45"/>
      <c r="E174" s="45"/>
      <c r="F174" s="45"/>
    </row>
    <row r="175" spans="1:6" ht="14.25" customHeight="1" x14ac:dyDescent="0.3">
      <c r="A175" s="48"/>
      <c r="B175" s="45"/>
      <c r="C175" s="45"/>
      <c r="D175" s="45"/>
      <c r="E175" s="45"/>
      <c r="F175" s="45"/>
    </row>
    <row r="176" spans="1:6" ht="14.25" customHeight="1" x14ac:dyDescent="0.3">
      <c r="A176" s="48"/>
      <c r="B176" s="45"/>
      <c r="C176" s="45"/>
      <c r="D176" s="45"/>
      <c r="E176" s="45"/>
      <c r="F176" s="45"/>
    </row>
    <row r="177" spans="1:6" ht="14.25" customHeight="1" x14ac:dyDescent="0.3">
      <c r="A177" s="48"/>
      <c r="B177" s="45"/>
      <c r="C177" s="45"/>
      <c r="D177" s="45"/>
      <c r="E177" s="45"/>
      <c r="F177" s="45"/>
    </row>
    <row r="178" spans="1:6" ht="14.25" customHeight="1" x14ac:dyDescent="0.3">
      <c r="A178" s="48"/>
      <c r="B178" s="45"/>
      <c r="C178" s="45"/>
      <c r="D178" s="45"/>
      <c r="E178" s="45"/>
      <c r="F178" s="45"/>
    </row>
    <row r="179" spans="1:6" ht="14.25" customHeight="1" x14ac:dyDescent="0.3">
      <c r="A179" s="48"/>
      <c r="B179" s="45"/>
      <c r="C179" s="45"/>
      <c r="D179" s="45"/>
      <c r="E179" s="45"/>
      <c r="F179" s="45"/>
    </row>
    <row r="180" spans="1:6" ht="14.25" customHeight="1" x14ac:dyDescent="0.3">
      <c r="A180" s="48"/>
      <c r="B180" s="45"/>
      <c r="C180" s="45"/>
      <c r="D180" s="45"/>
      <c r="E180" s="45"/>
      <c r="F180" s="45"/>
    </row>
    <row r="181" spans="1:6" ht="14.25" customHeight="1" x14ac:dyDescent="0.3">
      <c r="A181" s="48"/>
      <c r="B181" s="45"/>
      <c r="C181" s="45"/>
      <c r="D181" s="45"/>
      <c r="E181" s="45"/>
      <c r="F181" s="45"/>
    </row>
    <row r="182" spans="1:6" ht="14.25" customHeight="1" x14ac:dyDescent="0.3">
      <c r="A182" s="48"/>
      <c r="B182" s="45"/>
      <c r="C182" s="45"/>
      <c r="D182" s="45"/>
      <c r="E182" s="45"/>
      <c r="F182" s="45"/>
    </row>
    <row r="183" spans="1:6" ht="14.25" customHeight="1" x14ac:dyDescent="0.3">
      <c r="A183" s="48"/>
      <c r="B183" s="45"/>
      <c r="C183" s="45"/>
      <c r="D183" s="45"/>
      <c r="E183" s="45"/>
      <c r="F183" s="45"/>
    </row>
    <row r="184" spans="1:6" ht="14.25" customHeight="1" x14ac:dyDescent="0.3">
      <c r="A184" s="48"/>
      <c r="B184" s="45"/>
      <c r="C184" s="45"/>
      <c r="D184" s="45"/>
      <c r="E184" s="45"/>
      <c r="F184" s="45"/>
    </row>
    <row r="185" spans="1:6" ht="14.25" customHeight="1" x14ac:dyDescent="0.3">
      <c r="A185" s="48"/>
      <c r="B185" s="45"/>
      <c r="C185" s="45"/>
      <c r="D185" s="45"/>
      <c r="E185" s="45"/>
      <c r="F185" s="45"/>
    </row>
    <row r="186" spans="1:6" ht="14.25" customHeight="1" x14ac:dyDescent="0.3">
      <c r="A186" s="48"/>
      <c r="B186" s="45"/>
      <c r="C186" s="45"/>
      <c r="D186" s="45"/>
      <c r="E186" s="45"/>
      <c r="F186" s="45"/>
    </row>
    <row r="187" spans="1:6" ht="14.25" customHeight="1" x14ac:dyDescent="0.3">
      <c r="A187" s="48"/>
      <c r="B187" s="45"/>
      <c r="C187" s="45"/>
      <c r="D187" s="45"/>
      <c r="E187" s="45"/>
      <c r="F187" s="45"/>
    </row>
    <row r="188" spans="1:6" ht="14.25" customHeight="1" x14ac:dyDescent="0.3">
      <c r="A188" s="48"/>
      <c r="B188" s="45"/>
      <c r="C188" s="45"/>
      <c r="D188" s="45"/>
      <c r="E188" s="45"/>
      <c r="F188" s="45"/>
    </row>
    <row r="189" spans="1:6" ht="14.25" customHeight="1" x14ac:dyDescent="0.3">
      <c r="A189" s="48"/>
      <c r="B189" s="45"/>
      <c r="C189" s="45"/>
      <c r="D189" s="45"/>
      <c r="E189" s="45"/>
      <c r="F189" s="45"/>
    </row>
    <row r="190" spans="1:6" ht="14.25" customHeight="1" x14ac:dyDescent="0.3">
      <c r="A190" s="48"/>
      <c r="B190" s="45"/>
      <c r="C190" s="45"/>
      <c r="D190" s="45"/>
      <c r="E190" s="45"/>
      <c r="F190" s="45"/>
    </row>
    <row r="191" spans="1:6" ht="14.25" customHeight="1" x14ac:dyDescent="0.3">
      <c r="A191" s="48"/>
      <c r="B191" s="45"/>
      <c r="C191" s="45"/>
      <c r="D191" s="45"/>
      <c r="E191" s="45"/>
      <c r="F191" s="45"/>
    </row>
    <row r="192" spans="1:6" ht="14.25" customHeight="1" x14ac:dyDescent="0.3">
      <c r="A192" s="48"/>
      <c r="B192" s="45"/>
      <c r="C192" s="45"/>
      <c r="D192" s="45"/>
      <c r="E192" s="45"/>
      <c r="F192" s="45"/>
    </row>
    <row r="193" spans="1:6" ht="14.25" customHeight="1" x14ac:dyDescent="0.3">
      <c r="A193" s="48"/>
      <c r="B193" s="45"/>
      <c r="C193" s="45"/>
      <c r="D193" s="45"/>
      <c r="E193" s="45"/>
      <c r="F193" s="45"/>
    </row>
    <row r="194" spans="1:6" ht="14.25" customHeight="1" x14ac:dyDescent="0.3">
      <c r="A194" s="48"/>
      <c r="B194" s="45"/>
      <c r="C194" s="45"/>
      <c r="D194" s="45"/>
      <c r="E194" s="45"/>
      <c r="F194" s="45"/>
    </row>
    <row r="195" spans="1:6" ht="14.25" customHeight="1" x14ac:dyDescent="0.3">
      <c r="A195" s="48"/>
      <c r="B195" s="45"/>
      <c r="C195" s="45"/>
      <c r="D195" s="45"/>
      <c r="E195" s="45"/>
      <c r="F195" s="45"/>
    </row>
    <row r="196" spans="1:6" ht="14.25" customHeight="1" x14ac:dyDescent="0.3">
      <c r="A196" s="48"/>
      <c r="B196" s="45"/>
      <c r="C196" s="45"/>
      <c r="D196" s="45"/>
      <c r="E196" s="45"/>
      <c r="F196" s="45"/>
    </row>
    <row r="197" spans="1:6" ht="14.25" customHeight="1" x14ac:dyDescent="0.3">
      <c r="A197" s="48"/>
      <c r="B197" s="45"/>
      <c r="C197" s="45"/>
      <c r="D197" s="45"/>
      <c r="E197" s="45"/>
      <c r="F197" s="45"/>
    </row>
    <row r="198" spans="1:6" ht="14.25" customHeight="1" x14ac:dyDescent="0.3">
      <c r="A198" s="48"/>
      <c r="B198" s="45"/>
      <c r="C198" s="45"/>
      <c r="D198" s="45"/>
      <c r="E198" s="45"/>
      <c r="F198" s="45"/>
    </row>
    <row r="199" spans="1:6" ht="14.25" customHeight="1" x14ac:dyDescent="0.3">
      <c r="A199" s="48"/>
      <c r="B199" s="45"/>
      <c r="C199" s="45"/>
      <c r="D199" s="45"/>
      <c r="E199" s="45"/>
      <c r="F199" s="45"/>
    </row>
    <row r="200" spans="1:6" ht="14.25" customHeight="1" x14ac:dyDescent="0.3">
      <c r="A200" s="48"/>
      <c r="B200" s="45"/>
      <c r="C200" s="45"/>
      <c r="D200" s="45"/>
      <c r="E200" s="45"/>
      <c r="F200" s="45"/>
    </row>
    <row r="201" spans="1:6" ht="14.25" customHeight="1" x14ac:dyDescent="0.3">
      <c r="A201" s="48"/>
      <c r="B201" s="45"/>
      <c r="C201" s="45"/>
      <c r="D201" s="45"/>
      <c r="E201" s="45"/>
      <c r="F201" s="45"/>
    </row>
    <row r="202" spans="1:6" ht="14.25" customHeight="1" x14ac:dyDescent="0.3">
      <c r="A202" s="48"/>
      <c r="B202" s="45"/>
      <c r="C202" s="45"/>
      <c r="D202" s="45"/>
      <c r="E202" s="45"/>
      <c r="F202" s="45"/>
    </row>
    <row r="203" spans="1:6" ht="14.25" customHeight="1" x14ac:dyDescent="0.3">
      <c r="A203" s="48"/>
      <c r="B203" s="45"/>
      <c r="C203" s="45"/>
      <c r="D203" s="45"/>
      <c r="E203" s="45"/>
      <c r="F203" s="45"/>
    </row>
    <row r="204" spans="1:6" ht="14.25" customHeight="1" x14ac:dyDescent="0.3">
      <c r="A204" s="48"/>
      <c r="B204" s="45"/>
      <c r="C204" s="45"/>
      <c r="D204" s="45"/>
      <c r="E204" s="45"/>
      <c r="F204" s="45"/>
    </row>
    <row r="205" spans="1:6" ht="14.25" customHeight="1" x14ac:dyDescent="0.3">
      <c r="A205" s="48"/>
      <c r="B205" s="45"/>
      <c r="C205" s="45"/>
      <c r="D205" s="45"/>
      <c r="E205" s="45"/>
      <c r="F205" s="45"/>
    </row>
    <row r="206" spans="1:6" ht="14.25" customHeight="1" x14ac:dyDescent="0.3">
      <c r="A206" s="48"/>
      <c r="B206" s="45"/>
      <c r="C206" s="45"/>
      <c r="D206" s="45"/>
      <c r="E206" s="45"/>
      <c r="F206" s="45"/>
    </row>
    <row r="207" spans="1:6" ht="14.25" customHeight="1" x14ac:dyDescent="0.3">
      <c r="A207" s="48"/>
      <c r="B207" s="45"/>
      <c r="C207" s="45"/>
      <c r="D207" s="45"/>
      <c r="E207" s="45"/>
      <c r="F207" s="45"/>
    </row>
    <row r="208" spans="1:6" ht="14.25" customHeight="1" x14ac:dyDescent="0.3">
      <c r="A208" s="48"/>
      <c r="B208" s="45"/>
      <c r="C208" s="45"/>
      <c r="D208" s="45"/>
      <c r="E208" s="45"/>
      <c r="F208" s="45"/>
    </row>
    <row r="209" spans="1:6" ht="14.25" customHeight="1" x14ac:dyDescent="0.3">
      <c r="A209" s="48"/>
      <c r="B209" s="45"/>
      <c r="C209" s="45"/>
      <c r="D209" s="45"/>
      <c r="E209" s="45"/>
      <c r="F209" s="45"/>
    </row>
    <row r="210" spans="1:6" ht="14.25" customHeight="1" x14ac:dyDescent="0.3">
      <c r="A210" s="48"/>
      <c r="B210" s="45"/>
      <c r="C210" s="45"/>
      <c r="D210" s="45"/>
      <c r="E210" s="45"/>
      <c r="F210" s="45"/>
    </row>
    <row r="211" spans="1:6" ht="14.25" customHeight="1" x14ac:dyDescent="0.3">
      <c r="A211" s="48"/>
      <c r="B211" s="45"/>
      <c r="C211" s="45"/>
      <c r="D211" s="45"/>
      <c r="E211" s="45"/>
      <c r="F211" s="45"/>
    </row>
    <row r="212" spans="1:6" ht="14.25" customHeight="1" x14ac:dyDescent="0.3">
      <c r="A212" s="48"/>
      <c r="B212" s="45"/>
      <c r="C212" s="45"/>
      <c r="D212" s="45"/>
      <c r="E212" s="45"/>
      <c r="F212" s="45"/>
    </row>
    <row r="213" spans="1:6" ht="14.25" customHeight="1" x14ac:dyDescent="0.3">
      <c r="A213" s="48"/>
      <c r="B213" s="45"/>
      <c r="C213" s="45"/>
      <c r="D213" s="45"/>
      <c r="E213" s="45"/>
      <c r="F213" s="45"/>
    </row>
    <row r="214" spans="1:6" ht="14.25" customHeight="1" x14ac:dyDescent="0.3">
      <c r="A214" s="48"/>
      <c r="B214" s="45"/>
      <c r="C214" s="45"/>
      <c r="D214" s="45"/>
      <c r="E214" s="45"/>
      <c r="F214" s="45"/>
    </row>
    <row r="215" spans="1:6" ht="14.25" customHeight="1" x14ac:dyDescent="0.3">
      <c r="A215" s="48"/>
      <c r="B215" s="45"/>
      <c r="C215" s="45"/>
      <c r="D215" s="45"/>
      <c r="E215" s="45"/>
      <c r="F215" s="45"/>
    </row>
    <row r="216" spans="1:6" ht="14.25" customHeight="1" x14ac:dyDescent="0.3">
      <c r="A216" s="48"/>
      <c r="B216" s="45"/>
      <c r="C216" s="45"/>
      <c r="D216" s="45"/>
      <c r="E216" s="45"/>
      <c r="F216" s="45"/>
    </row>
    <row r="217" spans="1:6" ht="14.25" customHeight="1" x14ac:dyDescent="0.3">
      <c r="A217" s="48"/>
      <c r="B217" s="45"/>
      <c r="C217" s="45"/>
      <c r="D217" s="45"/>
      <c r="E217" s="45"/>
      <c r="F217" s="45"/>
    </row>
    <row r="218" spans="1:6" ht="14.25" customHeight="1" x14ac:dyDescent="0.3">
      <c r="A218" s="48"/>
      <c r="B218" s="45"/>
      <c r="C218" s="45"/>
      <c r="D218" s="45"/>
      <c r="E218" s="45"/>
      <c r="F218" s="45"/>
    </row>
    <row r="219" spans="1:6" ht="14.25" customHeight="1" x14ac:dyDescent="0.3">
      <c r="A219" s="48"/>
      <c r="B219" s="45"/>
      <c r="C219" s="45"/>
      <c r="D219" s="45"/>
      <c r="E219" s="45"/>
      <c r="F219" s="45"/>
    </row>
    <row r="220" spans="1:6" ht="14.25" customHeight="1" x14ac:dyDescent="0.3">
      <c r="A220" s="48"/>
      <c r="B220" s="45"/>
      <c r="C220" s="45"/>
      <c r="D220" s="45"/>
      <c r="E220" s="45"/>
      <c r="F220" s="45"/>
    </row>
    <row r="221" spans="1:6" ht="14.25" customHeight="1" x14ac:dyDescent="0.3">
      <c r="A221" s="48"/>
      <c r="B221" s="45"/>
      <c r="C221" s="45"/>
      <c r="D221" s="45"/>
      <c r="E221" s="45"/>
      <c r="F221" s="45"/>
    </row>
    <row r="222" spans="1:6" ht="14.25" customHeight="1" x14ac:dyDescent="0.3">
      <c r="A222" s="48"/>
      <c r="B222" s="45"/>
      <c r="C222" s="45"/>
      <c r="D222" s="45"/>
      <c r="E222" s="45"/>
      <c r="F222" s="45"/>
    </row>
    <row r="223" spans="1:6" ht="14.25" customHeight="1" x14ac:dyDescent="0.3">
      <c r="A223" s="48"/>
      <c r="B223" s="45"/>
      <c r="C223" s="45"/>
      <c r="D223" s="45"/>
      <c r="E223" s="45"/>
      <c r="F223" s="45"/>
    </row>
    <row r="224" spans="1:6" ht="14.25" customHeight="1" x14ac:dyDescent="0.3">
      <c r="A224" s="48"/>
      <c r="B224" s="45"/>
      <c r="C224" s="45"/>
      <c r="D224" s="45"/>
      <c r="E224" s="45"/>
      <c r="F224" s="45"/>
    </row>
    <row r="225" spans="1:6" ht="14.25" customHeight="1" x14ac:dyDescent="0.3">
      <c r="A225" s="48"/>
      <c r="B225" s="45"/>
      <c r="C225" s="45"/>
      <c r="D225" s="45"/>
      <c r="E225" s="45"/>
      <c r="F225" s="45"/>
    </row>
    <row r="226" spans="1:6" ht="14.25" customHeight="1" x14ac:dyDescent="0.3">
      <c r="A226" s="48"/>
      <c r="B226" s="45"/>
      <c r="C226" s="45"/>
      <c r="D226" s="45"/>
      <c r="E226" s="45"/>
      <c r="F226" s="45"/>
    </row>
    <row r="227" spans="1:6" ht="14.25" customHeight="1" x14ac:dyDescent="0.3">
      <c r="A227" s="48"/>
      <c r="B227" s="45"/>
      <c r="C227" s="45"/>
      <c r="D227" s="45"/>
      <c r="E227" s="45"/>
      <c r="F227" s="45"/>
    </row>
    <row r="228" spans="1:6" ht="14.25" customHeight="1" x14ac:dyDescent="0.3">
      <c r="A228" s="48"/>
      <c r="B228" s="45"/>
      <c r="C228" s="45"/>
      <c r="D228" s="45"/>
      <c r="E228" s="45"/>
      <c r="F228" s="45"/>
    </row>
    <row r="229" spans="1:6" ht="14.25" customHeight="1" x14ac:dyDescent="0.3">
      <c r="A229" s="48"/>
      <c r="B229" s="45"/>
      <c r="C229" s="45"/>
      <c r="D229" s="45"/>
      <c r="E229" s="45"/>
      <c r="F229" s="45"/>
    </row>
    <row r="230" spans="1:6" ht="14.25" customHeight="1" x14ac:dyDescent="0.3">
      <c r="A230" s="48"/>
      <c r="B230" s="45"/>
      <c r="C230" s="45"/>
      <c r="D230" s="45"/>
      <c r="E230" s="45"/>
      <c r="F230" s="45"/>
    </row>
    <row r="231" spans="1:6" ht="14.25" customHeight="1" x14ac:dyDescent="0.3">
      <c r="A231" s="48"/>
      <c r="B231" s="45"/>
      <c r="C231" s="45"/>
      <c r="D231" s="45"/>
      <c r="E231" s="45"/>
      <c r="F231" s="45"/>
    </row>
    <row r="232" spans="1:6" ht="14.25" customHeight="1" x14ac:dyDescent="0.3">
      <c r="A232" s="48"/>
      <c r="B232" s="45"/>
      <c r="C232" s="45"/>
      <c r="D232" s="45"/>
      <c r="E232" s="45"/>
      <c r="F232" s="45"/>
    </row>
    <row r="233" spans="1:6" ht="14.25" customHeight="1" x14ac:dyDescent="0.3">
      <c r="A233" s="48"/>
      <c r="B233" s="45"/>
      <c r="C233" s="45"/>
      <c r="D233" s="45"/>
      <c r="E233" s="45"/>
      <c r="F233" s="45"/>
    </row>
    <row r="234" spans="1:6" ht="14.25" customHeight="1" x14ac:dyDescent="0.3">
      <c r="A234" s="48"/>
      <c r="B234" s="45"/>
      <c r="C234" s="45"/>
      <c r="D234" s="45"/>
      <c r="E234" s="45"/>
      <c r="F234" s="45"/>
    </row>
    <row r="235" spans="1:6" ht="14.25" customHeight="1" x14ac:dyDescent="0.3">
      <c r="A235" s="48"/>
      <c r="B235" s="45"/>
      <c r="C235" s="45"/>
      <c r="D235" s="45"/>
      <c r="E235" s="45"/>
      <c r="F235" s="45"/>
    </row>
    <row r="236" spans="1:6" ht="14.25" customHeight="1" x14ac:dyDescent="0.3">
      <c r="A236" s="48"/>
      <c r="B236" s="45"/>
      <c r="C236" s="45"/>
      <c r="D236" s="45"/>
      <c r="E236" s="45"/>
      <c r="F236" s="45"/>
    </row>
    <row r="237" spans="1:6" ht="14.25" customHeight="1" x14ac:dyDescent="0.3">
      <c r="A237" s="48"/>
      <c r="B237" s="45"/>
      <c r="C237" s="45"/>
      <c r="D237" s="45"/>
      <c r="E237" s="45"/>
      <c r="F237" s="45"/>
    </row>
    <row r="238" spans="1:6" ht="14.25" customHeight="1" x14ac:dyDescent="0.3">
      <c r="A238" s="48"/>
      <c r="B238" s="45"/>
      <c r="C238" s="45"/>
      <c r="D238" s="45"/>
      <c r="E238" s="45"/>
      <c r="F238" s="45"/>
    </row>
    <row r="239" spans="1:6" ht="14.25" customHeight="1" x14ac:dyDescent="0.3">
      <c r="A239" s="48"/>
      <c r="B239" s="45"/>
      <c r="C239" s="45"/>
      <c r="D239" s="45"/>
      <c r="E239" s="45"/>
      <c r="F239" s="45"/>
    </row>
    <row r="240" spans="1:6" ht="14.25" customHeight="1" x14ac:dyDescent="0.3">
      <c r="A240" s="48"/>
      <c r="B240" s="45"/>
      <c r="C240" s="45"/>
      <c r="D240" s="45"/>
      <c r="E240" s="45"/>
      <c r="F240" s="45"/>
    </row>
    <row r="241" spans="1:6" ht="14.25" customHeight="1" x14ac:dyDescent="0.3">
      <c r="A241" s="48"/>
      <c r="B241" s="45"/>
      <c r="C241" s="45"/>
      <c r="D241" s="45"/>
      <c r="E241" s="45"/>
      <c r="F241" s="45"/>
    </row>
    <row r="242" spans="1:6" ht="14.25" customHeight="1" x14ac:dyDescent="0.3">
      <c r="A242" s="48"/>
      <c r="B242" s="45"/>
      <c r="C242" s="45"/>
      <c r="D242" s="45"/>
      <c r="E242" s="45"/>
      <c r="F242" s="45"/>
    </row>
    <row r="243" spans="1:6" ht="14.25" customHeight="1" x14ac:dyDescent="0.3">
      <c r="A243" s="48"/>
      <c r="B243" s="45"/>
      <c r="C243" s="45"/>
      <c r="D243" s="45"/>
      <c r="E243" s="45"/>
      <c r="F243" s="45"/>
    </row>
    <row r="244" spans="1:6" ht="14.25" customHeight="1" x14ac:dyDescent="0.3">
      <c r="A244" s="48"/>
      <c r="B244" s="45"/>
      <c r="C244" s="45"/>
      <c r="D244" s="45"/>
      <c r="E244" s="45"/>
      <c r="F244" s="45"/>
    </row>
    <row r="245" spans="1:6" ht="14.25" customHeight="1" x14ac:dyDescent="0.3">
      <c r="A245" s="48"/>
      <c r="B245" s="45"/>
      <c r="C245" s="45"/>
      <c r="D245" s="45"/>
      <c r="E245" s="45"/>
      <c r="F245" s="45"/>
    </row>
    <row r="246" spans="1:6" ht="14.25" customHeight="1" x14ac:dyDescent="0.3">
      <c r="A246" s="48"/>
      <c r="B246" s="45"/>
      <c r="C246" s="45"/>
      <c r="D246" s="45"/>
      <c r="E246" s="45"/>
      <c r="F246" s="45"/>
    </row>
    <row r="247" spans="1:6" ht="14.25" customHeight="1" x14ac:dyDescent="0.3">
      <c r="A247" s="48"/>
      <c r="B247" s="45"/>
      <c r="C247" s="45"/>
      <c r="D247" s="45"/>
      <c r="E247" s="45"/>
      <c r="F247" s="45"/>
    </row>
    <row r="248" spans="1:6" ht="14.25" customHeight="1" x14ac:dyDescent="0.3">
      <c r="A248" s="48"/>
      <c r="B248" s="45"/>
      <c r="C248" s="45"/>
      <c r="D248" s="45"/>
      <c r="E248" s="45"/>
      <c r="F248" s="45"/>
    </row>
    <row r="249" spans="1:6" ht="14.25" customHeight="1" x14ac:dyDescent="0.3">
      <c r="A249" s="48"/>
      <c r="B249" s="45"/>
      <c r="C249" s="45"/>
      <c r="D249" s="45"/>
      <c r="E249" s="45"/>
      <c r="F249" s="45"/>
    </row>
    <row r="250" spans="1:6" ht="14.25" customHeight="1" x14ac:dyDescent="0.3">
      <c r="A250" s="48"/>
      <c r="B250" s="45"/>
      <c r="C250" s="45"/>
      <c r="D250" s="45"/>
      <c r="E250" s="45"/>
      <c r="F250" s="45"/>
    </row>
    <row r="251" spans="1:6" ht="14.25" customHeight="1" x14ac:dyDescent="0.3">
      <c r="A251" s="48"/>
      <c r="B251" s="45"/>
      <c r="C251" s="45"/>
      <c r="D251" s="45"/>
      <c r="E251" s="45"/>
      <c r="F251" s="45"/>
    </row>
    <row r="252" spans="1:6" ht="14.25" customHeight="1" x14ac:dyDescent="0.3">
      <c r="A252" s="48"/>
      <c r="B252" s="45"/>
      <c r="C252" s="45"/>
      <c r="D252" s="45"/>
      <c r="E252" s="45"/>
      <c r="F252" s="45"/>
    </row>
    <row r="253" spans="1:6" ht="14.25" customHeight="1" x14ac:dyDescent="0.3">
      <c r="A253" s="48"/>
      <c r="B253" s="45"/>
      <c r="C253" s="45"/>
      <c r="D253" s="45"/>
      <c r="E253" s="45"/>
      <c r="F253" s="45"/>
    </row>
    <row r="254" spans="1:6" ht="14.25" customHeight="1" x14ac:dyDescent="0.3">
      <c r="A254" s="48"/>
      <c r="B254" s="45"/>
      <c r="C254" s="45"/>
      <c r="D254" s="45"/>
      <c r="E254" s="45"/>
      <c r="F254" s="45"/>
    </row>
    <row r="255" spans="1:6" ht="14.25" customHeight="1" x14ac:dyDescent="0.3">
      <c r="A255" s="48"/>
      <c r="B255" s="45"/>
      <c r="C255" s="45"/>
      <c r="D255" s="45"/>
      <c r="E255" s="45"/>
      <c r="F255" s="45"/>
    </row>
    <row r="256" spans="1:6" ht="14.25" customHeight="1" x14ac:dyDescent="0.3">
      <c r="A256" s="48"/>
      <c r="B256" s="45"/>
      <c r="C256" s="45"/>
      <c r="D256" s="45"/>
      <c r="E256" s="45"/>
      <c r="F256" s="45"/>
    </row>
    <row r="257" spans="1:6" ht="14.25" customHeight="1" x14ac:dyDescent="0.3">
      <c r="A257" s="48"/>
      <c r="B257" s="45"/>
      <c r="C257" s="45"/>
      <c r="D257" s="45"/>
      <c r="E257" s="45"/>
      <c r="F257" s="45"/>
    </row>
    <row r="258" spans="1:6" ht="14.25" customHeight="1" x14ac:dyDescent="0.3">
      <c r="A258" s="48"/>
      <c r="B258" s="45"/>
      <c r="C258" s="45"/>
      <c r="D258" s="45"/>
      <c r="E258" s="45"/>
      <c r="F258" s="45"/>
    </row>
    <row r="259" spans="1:6" ht="14.25" customHeight="1" x14ac:dyDescent="0.3">
      <c r="A259" s="48"/>
      <c r="B259" s="45"/>
      <c r="C259" s="45"/>
      <c r="D259" s="45"/>
      <c r="E259" s="45"/>
      <c r="F259" s="45"/>
    </row>
    <row r="260" spans="1:6" ht="14.25" customHeight="1" x14ac:dyDescent="0.3">
      <c r="A260" s="48"/>
      <c r="B260" s="45"/>
      <c r="C260" s="45"/>
      <c r="D260" s="45"/>
      <c r="E260" s="45"/>
      <c r="F260" s="45"/>
    </row>
    <row r="261" spans="1:6" ht="14.25" customHeight="1" x14ac:dyDescent="0.3">
      <c r="A261" s="48"/>
      <c r="B261" s="45"/>
      <c r="C261" s="45"/>
      <c r="D261" s="45"/>
      <c r="E261" s="45"/>
      <c r="F261" s="45"/>
    </row>
    <row r="262" spans="1:6" ht="14.25" customHeight="1" x14ac:dyDescent="0.3">
      <c r="A262" s="48"/>
      <c r="B262" s="45"/>
      <c r="C262" s="45"/>
      <c r="D262" s="45"/>
      <c r="E262" s="45"/>
      <c r="F262" s="45"/>
    </row>
    <row r="263" spans="1:6" ht="14.25" customHeight="1" x14ac:dyDescent="0.3">
      <c r="A263" s="48"/>
      <c r="B263" s="45"/>
      <c r="C263" s="45"/>
      <c r="D263" s="45"/>
      <c r="E263" s="45"/>
      <c r="F263" s="45"/>
    </row>
    <row r="264" spans="1:6" ht="14.25" customHeight="1" x14ac:dyDescent="0.3">
      <c r="A264" s="48"/>
      <c r="B264" s="45"/>
      <c r="C264" s="45"/>
      <c r="D264" s="45"/>
      <c r="E264" s="45"/>
      <c r="F264" s="45"/>
    </row>
    <row r="265" spans="1:6" ht="14.25" customHeight="1" x14ac:dyDescent="0.3">
      <c r="A265" s="48"/>
      <c r="B265" s="45"/>
      <c r="C265" s="45"/>
      <c r="D265" s="45"/>
      <c r="E265" s="45"/>
      <c r="F265" s="45"/>
    </row>
    <row r="266" spans="1:6" ht="14.25" customHeight="1" x14ac:dyDescent="0.3">
      <c r="A266" s="48"/>
      <c r="B266" s="45"/>
      <c r="C266" s="45"/>
      <c r="D266" s="45"/>
      <c r="E266" s="45"/>
      <c r="F266" s="45"/>
    </row>
    <row r="267" spans="1:6" ht="14.25" customHeight="1" x14ac:dyDescent="0.3">
      <c r="A267" s="48"/>
      <c r="B267" s="45"/>
      <c r="C267" s="45"/>
      <c r="D267" s="45"/>
      <c r="E267" s="45"/>
      <c r="F267" s="45"/>
    </row>
    <row r="268" spans="1:6" ht="14.25" customHeight="1" x14ac:dyDescent="0.3">
      <c r="A268" s="48"/>
      <c r="B268" s="45"/>
      <c r="C268" s="45"/>
      <c r="D268" s="45"/>
      <c r="E268" s="45"/>
      <c r="F268" s="45"/>
    </row>
    <row r="269" spans="1:6" ht="14.25" customHeight="1" x14ac:dyDescent="0.3">
      <c r="A269" s="48"/>
      <c r="B269" s="45"/>
      <c r="C269" s="45"/>
      <c r="D269" s="45"/>
      <c r="E269" s="45"/>
      <c r="F269" s="45"/>
    </row>
    <row r="270" spans="1:6" ht="14.25" customHeight="1" x14ac:dyDescent="0.3">
      <c r="A270" s="48"/>
      <c r="B270" s="45"/>
      <c r="C270" s="45"/>
      <c r="D270" s="45"/>
      <c r="E270" s="45"/>
      <c r="F270" s="45"/>
    </row>
    <row r="271" spans="1:6" ht="14.25" customHeight="1" x14ac:dyDescent="0.3">
      <c r="A271" s="48"/>
      <c r="B271" s="45"/>
      <c r="C271" s="45"/>
      <c r="D271" s="45"/>
      <c r="E271" s="45"/>
      <c r="F271" s="45"/>
    </row>
    <row r="272" spans="1:6" ht="14.25" customHeight="1" x14ac:dyDescent="0.3">
      <c r="A272" s="48"/>
      <c r="B272" s="45"/>
      <c r="C272" s="45"/>
      <c r="D272" s="45"/>
      <c r="E272" s="45"/>
      <c r="F272" s="45"/>
    </row>
    <row r="273" spans="1:6" ht="14.25" customHeight="1" x14ac:dyDescent="0.3">
      <c r="A273" s="48"/>
      <c r="B273" s="45"/>
      <c r="C273" s="45"/>
      <c r="D273" s="45"/>
      <c r="E273" s="45"/>
      <c r="F273" s="45"/>
    </row>
    <row r="274" spans="1:6" ht="14.25" customHeight="1" x14ac:dyDescent="0.3">
      <c r="A274" s="48"/>
      <c r="B274" s="45"/>
      <c r="C274" s="45"/>
      <c r="D274" s="45"/>
      <c r="E274" s="45"/>
      <c r="F274" s="45"/>
    </row>
    <row r="275" spans="1:6" ht="14.25" customHeight="1" x14ac:dyDescent="0.3">
      <c r="A275" s="48"/>
      <c r="B275" s="45"/>
      <c r="C275" s="45"/>
      <c r="D275" s="45"/>
      <c r="E275" s="45"/>
      <c r="F275" s="45"/>
    </row>
    <row r="276" spans="1:6" ht="14.25" customHeight="1" x14ac:dyDescent="0.3">
      <c r="A276" s="48"/>
      <c r="B276" s="45"/>
      <c r="C276" s="45"/>
      <c r="D276" s="45"/>
      <c r="E276" s="45"/>
      <c r="F276" s="45"/>
    </row>
    <row r="277" spans="1:6" ht="14.25" customHeight="1" x14ac:dyDescent="0.3">
      <c r="A277" s="48"/>
      <c r="B277" s="45"/>
      <c r="C277" s="45"/>
      <c r="D277" s="45"/>
      <c r="E277" s="45"/>
      <c r="F277" s="45"/>
    </row>
    <row r="278" spans="1:6" ht="14.25" customHeight="1" x14ac:dyDescent="0.3">
      <c r="A278" s="48"/>
      <c r="B278" s="45"/>
      <c r="C278" s="45"/>
      <c r="D278" s="45"/>
      <c r="E278" s="45"/>
      <c r="F278" s="45"/>
    </row>
    <row r="279" spans="1:6" ht="14.25" customHeight="1" x14ac:dyDescent="0.3">
      <c r="A279" s="48"/>
      <c r="B279" s="45"/>
      <c r="C279" s="45"/>
      <c r="D279" s="45"/>
      <c r="E279" s="45"/>
      <c r="F279" s="45"/>
    </row>
    <row r="280" spans="1:6" ht="14.25" customHeight="1" x14ac:dyDescent="0.3">
      <c r="A280" s="48"/>
      <c r="B280" s="45"/>
      <c r="C280" s="45"/>
      <c r="D280" s="45"/>
      <c r="E280" s="45"/>
      <c r="F280" s="45"/>
    </row>
    <row r="281" spans="1:6" ht="14.25" customHeight="1" x14ac:dyDescent="0.3">
      <c r="A281" s="48"/>
      <c r="B281" s="45"/>
      <c r="C281" s="45"/>
      <c r="D281" s="45"/>
      <c r="E281" s="45"/>
      <c r="F281" s="45"/>
    </row>
    <row r="282" spans="1:6" ht="14.25" customHeight="1" x14ac:dyDescent="0.3">
      <c r="A282" s="48"/>
      <c r="B282" s="45"/>
      <c r="C282" s="45"/>
      <c r="D282" s="45"/>
      <c r="E282" s="45"/>
      <c r="F282" s="45"/>
    </row>
    <row r="283" spans="1:6" ht="14.25" customHeight="1" x14ac:dyDescent="0.3">
      <c r="A283" s="48"/>
      <c r="B283" s="45"/>
      <c r="C283" s="45"/>
      <c r="D283" s="45"/>
      <c r="E283" s="45"/>
      <c r="F283" s="45"/>
    </row>
    <row r="284" spans="1:6" ht="14.25" customHeight="1" x14ac:dyDescent="0.3">
      <c r="A284" s="48"/>
      <c r="B284" s="45"/>
      <c r="C284" s="45"/>
      <c r="D284" s="45"/>
      <c r="E284" s="45"/>
      <c r="F284" s="45"/>
    </row>
    <row r="285" spans="1:6" ht="14.25" customHeight="1" x14ac:dyDescent="0.3">
      <c r="A285" s="48"/>
      <c r="B285" s="45"/>
      <c r="C285" s="45"/>
      <c r="D285" s="45"/>
      <c r="E285" s="45"/>
      <c r="F285" s="45"/>
    </row>
    <row r="286" spans="1:6" ht="14.25" customHeight="1" x14ac:dyDescent="0.3">
      <c r="A286" s="48"/>
      <c r="B286" s="45"/>
      <c r="C286" s="45"/>
      <c r="D286" s="45"/>
      <c r="E286" s="45"/>
      <c r="F286" s="45"/>
    </row>
    <row r="287" spans="1:6" ht="14.25" customHeight="1" x14ac:dyDescent="0.3">
      <c r="A287" s="48"/>
      <c r="B287" s="45"/>
      <c r="C287" s="45"/>
      <c r="D287" s="45"/>
      <c r="E287" s="45"/>
      <c r="F287" s="45"/>
    </row>
    <row r="288" spans="1:6" ht="14.25" customHeight="1" x14ac:dyDescent="0.3">
      <c r="A288" s="48"/>
      <c r="B288" s="45"/>
      <c r="C288" s="45"/>
      <c r="D288" s="45"/>
      <c r="E288" s="45"/>
      <c r="F288" s="45"/>
    </row>
    <row r="289" spans="1:6" ht="14.25" customHeight="1" x14ac:dyDescent="0.3">
      <c r="A289" s="48"/>
      <c r="B289" s="45"/>
      <c r="C289" s="45"/>
      <c r="D289" s="45"/>
      <c r="E289" s="45"/>
      <c r="F289" s="45"/>
    </row>
    <row r="290" spans="1:6" ht="14.25" customHeight="1" x14ac:dyDescent="0.3">
      <c r="A290" s="48"/>
      <c r="B290" s="45"/>
      <c r="C290" s="45"/>
      <c r="D290" s="45"/>
      <c r="E290" s="45"/>
      <c r="F290" s="45"/>
    </row>
    <row r="291" spans="1:6" ht="14.25" customHeight="1" x14ac:dyDescent="0.3">
      <c r="A291" s="48"/>
      <c r="B291" s="45"/>
      <c r="C291" s="45"/>
      <c r="D291" s="45"/>
      <c r="E291" s="45"/>
      <c r="F291" s="45"/>
    </row>
    <row r="292" spans="1:6" ht="14.25" customHeight="1" x14ac:dyDescent="0.3">
      <c r="A292" s="48"/>
      <c r="B292" s="45"/>
      <c r="C292" s="45"/>
      <c r="D292" s="45"/>
      <c r="E292" s="45"/>
      <c r="F292" s="45"/>
    </row>
    <row r="293" spans="1:6" ht="14.25" customHeight="1" x14ac:dyDescent="0.3">
      <c r="A293" s="48"/>
      <c r="B293" s="45"/>
      <c r="C293" s="45"/>
      <c r="D293" s="45"/>
      <c r="E293" s="45"/>
      <c r="F293" s="45"/>
    </row>
    <row r="294" spans="1:6" ht="14.25" customHeight="1" x14ac:dyDescent="0.3">
      <c r="A294" s="48"/>
      <c r="B294" s="45"/>
      <c r="C294" s="45"/>
      <c r="D294" s="45"/>
      <c r="E294" s="45"/>
      <c r="F294" s="45"/>
    </row>
    <row r="295" spans="1:6" ht="14.25" customHeight="1" x14ac:dyDescent="0.3">
      <c r="A295" s="48"/>
      <c r="B295" s="45"/>
      <c r="C295" s="45"/>
      <c r="D295" s="45"/>
      <c r="E295" s="45"/>
      <c r="F295" s="45"/>
    </row>
    <row r="296" spans="1:6" ht="14.25" customHeight="1" x14ac:dyDescent="0.3">
      <c r="A296" s="48"/>
      <c r="B296" s="45"/>
      <c r="C296" s="45"/>
      <c r="D296" s="45"/>
      <c r="E296" s="45"/>
      <c r="F296" s="45"/>
    </row>
    <row r="297" spans="1:6" ht="14.25" customHeight="1" x14ac:dyDescent="0.3">
      <c r="A297" s="48"/>
      <c r="B297" s="45"/>
      <c r="C297" s="45"/>
      <c r="D297" s="45"/>
      <c r="E297" s="45"/>
      <c r="F297" s="45"/>
    </row>
    <row r="298" spans="1:6" ht="14.25" customHeight="1" x14ac:dyDescent="0.3">
      <c r="A298" s="48"/>
      <c r="B298" s="45"/>
      <c r="C298" s="45"/>
      <c r="D298" s="45"/>
      <c r="E298" s="45"/>
      <c r="F298" s="45"/>
    </row>
    <row r="299" spans="1:6" ht="14.25" customHeight="1" x14ac:dyDescent="0.3">
      <c r="A299" s="48"/>
      <c r="B299" s="45"/>
      <c r="C299" s="45"/>
      <c r="D299" s="45"/>
      <c r="E299" s="45"/>
      <c r="F299" s="45"/>
    </row>
    <row r="300" spans="1:6" ht="14.25" customHeight="1" x14ac:dyDescent="0.3">
      <c r="A300" s="48"/>
      <c r="B300" s="45"/>
      <c r="C300" s="45"/>
      <c r="D300" s="45"/>
      <c r="E300" s="45"/>
      <c r="F300" s="45"/>
    </row>
    <row r="301" spans="1:6" ht="14.25" customHeight="1" x14ac:dyDescent="0.3">
      <c r="A301" s="48"/>
      <c r="B301" s="45"/>
      <c r="C301" s="45"/>
      <c r="D301" s="45"/>
      <c r="E301" s="45"/>
      <c r="F301" s="45"/>
    </row>
    <row r="302" spans="1:6" ht="14.25" customHeight="1" x14ac:dyDescent="0.3">
      <c r="A302" s="48"/>
      <c r="B302" s="45"/>
      <c r="C302" s="45"/>
      <c r="D302" s="45"/>
      <c r="E302" s="45"/>
      <c r="F302" s="45"/>
    </row>
    <row r="303" spans="1:6" ht="14.25" customHeight="1" x14ac:dyDescent="0.3">
      <c r="A303" s="48"/>
      <c r="B303" s="45"/>
      <c r="C303" s="45"/>
      <c r="D303" s="45"/>
      <c r="E303" s="45"/>
      <c r="F303" s="45"/>
    </row>
    <row r="304" spans="1:6" ht="14.25" customHeight="1" x14ac:dyDescent="0.3">
      <c r="A304" s="48"/>
      <c r="B304" s="45"/>
      <c r="C304" s="45"/>
      <c r="D304" s="45"/>
      <c r="E304" s="45"/>
      <c r="F304" s="45"/>
    </row>
    <row r="305" spans="1:6" ht="14.25" customHeight="1" x14ac:dyDescent="0.3">
      <c r="A305" s="48"/>
      <c r="B305" s="45"/>
      <c r="C305" s="45"/>
      <c r="D305" s="45"/>
      <c r="E305" s="45"/>
      <c r="F305" s="45"/>
    </row>
    <row r="306" spans="1:6" ht="14.25" customHeight="1" x14ac:dyDescent="0.3">
      <c r="A306" s="48"/>
      <c r="B306" s="45"/>
      <c r="C306" s="45"/>
      <c r="D306" s="45"/>
      <c r="E306" s="45"/>
      <c r="F306" s="45"/>
    </row>
    <row r="307" spans="1:6" ht="14.25" customHeight="1" x14ac:dyDescent="0.3">
      <c r="A307" s="48"/>
      <c r="B307" s="45"/>
      <c r="C307" s="45"/>
      <c r="D307" s="45"/>
      <c r="E307" s="45"/>
      <c r="F307" s="45"/>
    </row>
    <row r="308" spans="1:6" ht="14.25" customHeight="1" x14ac:dyDescent="0.3">
      <c r="A308" s="48"/>
      <c r="B308" s="45"/>
      <c r="C308" s="45"/>
      <c r="D308" s="45"/>
      <c r="E308" s="45"/>
      <c r="F308" s="45"/>
    </row>
    <row r="309" spans="1:6" ht="14.25" customHeight="1" x14ac:dyDescent="0.3">
      <c r="A309" s="48"/>
      <c r="B309" s="45"/>
      <c r="C309" s="45"/>
      <c r="D309" s="45"/>
      <c r="E309" s="45"/>
      <c r="F309" s="45"/>
    </row>
    <row r="310" spans="1:6" ht="14.25" customHeight="1" x14ac:dyDescent="0.3">
      <c r="A310" s="48"/>
      <c r="B310" s="45"/>
      <c r="C310" s="45"/>
      <c r="D310" s="45"/>
      <c r="E310" s="45"/>
      <c r="F310" s="45"/>
    </row>
    <row r="311" spans="1:6" ht="14.25" customHeight="1" x14ac:dyDescent="0.3">
      <c r="A311" s="48"/>
      <c r="B311" s="45"/>
      <c r="C311" s="45"/>
      <c r="D311" s="45"/>
      <c r="E311" s="45"/>
      <c r="F311" s="45"/>
    </row>
    <row r="312" spans="1:6" ht="14.25" customHeight="1" x14ac:dyDescent="0.3">
      <c r="A312" s="48"/>
      <c r="B312" s="45"/>
      <c r="C312" s="45"/>
      <c r="D312" s="45"/>
      <c r="E312" s="45"/>
      <c r="F312" s="45"/>
    </row>
    <row r="313" spans="1:6" ht="14.25" customHeight="1" x14ac:dyDescent="0.3">
      <c r="A313" s="48"/>
      <c r="B313" s="45"/>
      <c r="C313" s="45"/>
      <c r="D313" s="45"/>
      <c r="E313" s="45"/>
      <c r="F313" s="45"/>
    </row>
    <row r="314" spans="1:6" ht="14.25" customHeight="1" x14ac:dyDescent="0.3">
      <c r="A314" s="48"/>
      <c r="B314" s="45"/>
      <c r="C314" s="45"/>
      <c r="D314" s="45"/>
      <c r="E314" s="45"/>
      <c r="F314" s="45"/>
    </row>
    <row r="315" spans="1:6" ht="14.25" customHeight="1" x14ac:dyDescent="0.3">
      <c r="A315" s="48"/>
      <c r="B315" s="45"/>
      <c r="C315" s="45"/>
      <c r="D315" s="45"/>
      <c r="E315" s="45"/>
      <c r="F315" s="45"/>
    </row>
    <row r="316" spans="1:6" ht="14.25" customHeight="1" x14ac:dyDescent="0.3">
      <c r="A316" s="48"/>
      <c r="B316" s="45"/>
      <c r="C316" s="45"/>
      <c r="D316" s="45"/>
      <c r="E316" s="45"/>
      <c r="F316" s="45"/>
    </row>
    <row r="317" spans="1:6" ht="14.25" customHeight="1" x14ac:dyDescent="0.3">
      <c r="A317" s="48"/>
      <c r="B317" s="45"/>
      <c r="C317" s="45"/>
      <c r="D317" s="45"/>
      <c r="E317" s="45"/>
      <c r="F317" s="45"/>
    </row>
    <row r="318" spans="1:6" ht="14.25" customHeight="1" x14ac:dyDescent="0.3">
      <c r="A318" s="48"/>
      <c r="B318" s="45"/>
      <c r="C318" s="45"/>
      <c r="D318" s="45"/>
      <c r="E318" s="45"/>
      <c r="F318" s="45"/>
    </row>
    <row r="319" spans="1:6" ht="14.25" customHeight="1" x14ac:dyDescent="0.3">
      <c r="A319" s="48"/>
      <c r="B319" s="45"/>
      <c r="C319" s="45"/>
      <c r="D319" s="45"/>
      <c r="E319" s="45"/>
      <c r="F319" s="45"/>
    </row>
    <row r="320" spans="1:6" ht="14.25" customHeight="1" x14ac:dyDescent="0.3">
      <c r="A320" s="48"/>
      <c r="B320" s="45"/>
      <c r="C320" s="45"/>
      <c r="D320" s="45"/>
      <c r="E320" s="45"/>
      <c r="F320" s="45"/>
    </row>
    <row r="321" spans="1:6" ht="14.25" customHeight="1" x14ac:dyDescent="0.3">
      <c r="A321" s="48"/>
      <c r="B321" s="45"/>
      <c r="C321" s="45"/>
      <c r="D321" s="45"/>
      <c r="E321" s="45"/>
      <c r="F321" s="45"/>
    </row>
    <row r="322" spans="1:6" ht="14.25" customHeight="1" x14ac:dyDescent="0.3">
      <c r="A322" s="48"/>
      <c r="B322" s="45"/>
      <c r="C322" s="45"/>
      <c r="D322" s="45"/>
      <c r="E322" s="45"/>
      <c r="F322" s="45"/>
    </row>
    <row r="323" spans="1:6" ht="14.25" customHeight="1" x14ac:dyDescent="0.3">
      <c r="A323" s="48"/>
      <c r="B323" s="45"/>
      <c r="C323" s="45"/>
      <c r="D323" s="45"/>
      <c r="E323" s="45"/>
      <c r="F323" s="45"/>
    </row>
    <row r="324" spans="1:6" ht="14.25" customHeight="1" x14ac:dyDescent="0.3">
      <c r="A324" s="48"/>
      <c r="B324" s="45"/>
      <c r="C324" s="45"/>
      <c r="D324" s="45"/>
      <c r="E324" s="45"/>
      <c r="F324" s="45"/>
    </row>
    <row r="325" spans="1:6" ht="14.25" customHeight="1" x14ac:dyDescent="0.3">
      <c r="A325" s="48"/>
      <c r="B325" s="45"/>
      <c r="C325" s="45"/>
      <c r="D325" s="45"/>
      <c r="E325" s="45"/>
      <c r="F325" s="45"/>
    </row>
    <row r="326" spans="1:6" ht="14.25" customHeight="1" x14ac:dyDescent="0.3">
      <c r="A326" s="48"/>
      <c r="B326" s="45"/>
      <c r="C326" s="45"/>
      <c r="D326" s="45"/>
      <c r="E326" s="45"/>
      <c r="F326" s="45"/>
    </row>
    <row r="327" spans="1:6" ht="14.25" customHeight="1" x14ac:dyDescent="0.3">
      <c r="A327" s="48"/>
      <c r="B327" s="45"/>
      <c r="C327" s="45"/>
      <c r="D327" s="45"/>
      <c r="E327" s="45"/>
      <c r="F327" s="45"/>
    </row>
    <row r="328" spans="1:6" ht="14.25" customHeight="1" x14ac:dyDescent="0.3">
      <c r="A328" s="48"/>
      <c r="B328" s="45"/>
      <c r="C328" s="45"/>
      <c r="D328" s="45"/>
      <c r="E328" s="45"/>
      <c r="F328" s="45"/>
    </row>
    <row r="329" spans="1:6" ht="14.25" customHeight="1" x14ac:dyDescent="0.3">
      <c r="A329" s="48"/>
      <c r="B329" s="45"/>
      <c r="C329" s="45"/>
      <c r="D329" s="45"/>
      <c r="E329" s="45"/>
      <c r="F329" s="45"/>
    </row>
    <row r="330" spans="1:6" ht="14.25" customHeight="1" x14ac:dyDescent="0.3">
      <c r="A330" s="48"/>
      <c r="B330" s="45"/>
      <c r="C330" s="45"/>
      <c r="D330" s="45"/>
      <c r="E330" s="45"/>
      <c r="F330" s="45"/>
    </row>
    <row r="331" spans="1:6" ht="14.25" customHeight="1" x14ac:dyDescent="0.3">
      <c r="A331" s="48"/>
      <c r="B331" s="45"/>
      <c r="C331" s="45"/>
      <c r="D331" s="45"/>
      <c r="E331" s="45"/>
      <c r="F331" s="45"/>
    </row>
    <row r="332" spans="1:6" ht="14.25" customHeight="1" x14ac:dyDescent="0.3">
      <c r="A332" s="48"/>
      <c r="B332" s="45"/>
      <c r="C332" s="45"/>
      <c r="D332" s="45"/>
      <c r="E332" s="45"/>
      <c r="F332" s="45"/>
    </row>
    <row r="333" spans="1:6" ht="14.25" customHeight="1" x14ac:dyDescent="0.3">
      <c r="A333" s="48"/>
      <c r="B333" s="45"/>
      <c r="C333" s="45"/>
      <c r="D333" s="45"/>
      <c r="E333" s="45"/>
      <c r="F333" s="45"/>
    </row>
    <row r="334" spans="1:6" ht="14.25" customHeight="1" x14ac:dyDescent="0.3">
      <c r="A334" s="48"/>
      <c r="B334" s="45"/>
      <c r="C334" s="45"/>
      <c r="D334" s="45"/>
      <c r="E334" s="45"/>
      <c r="F334" s="45"/>
    </row>
    <row r="335" spans="1:6" ht="14.25" customHeight="1" x14ac:dyDescent="0.3">
      <c r="A335" s="48"/>
      <c r="B335" s="45"/>
      <c r="C335" s="45"/>
      <c r="D335" s="45"/>
      <c r="E335" s="45"/>
      <c r="F335" s="45"/>
    </row>
    <row r="336" spans="1:6" ht="14.25" customHeight="1" x14ac:dyDescent="0.3">
      <c r="A336" s="48"/>
      <c r="B336" s="45"/>
      <c r="C336" s="45"/>
      <c r="D336" s="45"/>
      <c r="E336" s="45"/>
      <c r="F336" s="45"/>
    </row>
    <row r="337" spans="1:6" ht="14.25" customHeight="1" x14ac:dyDescent="0.3">
      <c r="A337" s="48"/>
      <c r="B337" s="45"/>
      <c r="C337" s="45"/>
      <c r="D337" s="45"/>
      <c r="E337" s="45"/>
      <c r="F337" s="45"/>
    </row>
    <row r="338" spans="1:6" ht="14.25" customHeight="1" x14ac:dyDescent="0.3">
      <c r="A338" s="48"/>
      <c r="B338" s="45"/>
      <c r="C338" s="45"/>
      <c r="D338" s="45"/>
      <c r="E338" s="45"/>
      <c r="F338" s="45"/>
    </row>
    <row r="339" spans="1:6" ht="14.25" customHeight="1" x14ac:dyDescent="0.3">
      <c r="A339" s="48"/>
      <c r="B339" s="45"/>
      <c r="C339" s="45"/>
      <c r="D339" s="45"/>
      <c r="E339" s="45"/>
      <c r="F339" s="45"/>
    </row>
    <row r="340" spans="1:6" ht="14.25" customHeight="1" x14ac:dyDescent="0.3">
      <c r="A340" s="48"/>
      <c r="B340" s="45"/>
      <c r="C340" s="45"/>
      <c r="D340" s="45"/>
      <c r="E340" s="45"/>
      <c r="F340" s="45"/>
    </row>
    <row r="341" spans="1:6" ht="14.25" customHeight="1" x14ac:dyDescent="0.3">
      <c r="A341" s="48"/>
      <c r="B341" s="45"/>
      <c r="C341" s="45"/>
      <c r="D341" s="45"/>
      <c r="E341" s="45"/>
      <c r="F341" s="45"/>
    </row>
    <row r="342" spans="1:6" ht="14.25" customHeight="1" x14ac:dyDescent="0.3">
      <c r="A342" s="48"/>
      <c r="B342" s="45"/>
      <c r="C342" s="45"/>
      <c r="D342" s="45"/>
      <c r="E342" s="45"/>
      <c r="F342" s="45"/>
    </row>
    <row r="343" spans="1:6" ht="14.25" customHeight="1" x14ac:dyDescent="0.3">
      <c r="A343" s="48"/>
      <c r="B343" s="45"/>
      <c r="C343" s="45"/>
      <c r="D343" s="45"/>
      <c r="E343" s="45"/>
      <c r="F343" s="45"/>
    </row>
    <row r="344" spans="1:6" ht="14.25" customHeight="1" x14ac:dyDescent="0.3">
      <c r="A344" s="48"/>
      <c r="B344" s="45"/>
      <c r="C344" s="45"/>
      <c r="D344" s="45"/>
      <c r="E344" s="45"/>
      <c r="F344" s="45"/>
    </row>
    <row r="345" spans="1:6" ht="14.25" customHeight="1" x14ac:dyDescent="0.3">
      <c r="A345" s="48"/>
      <c r="B345" s="45"/>
      <c r="C345" s="45"/>
      <c r="D345" s="45"/>
      <c r="E345" s="45"/>
      <c r="F345" s="45"/>
    </row>
    <row r="346" spans="1:6" ht="14.25" customHeight="1" x14ac:dyDescent="0.3">
      <c r="A346" s="48"/>
      <c r="B346" s="45"/>
      <c r="C346" s="45"/>
      <c r="D346" s="45"/>
      <c r="E346" s="45"/>
      <c r="F346" s="45"/>
    </row>
    <row r="347" spans="1:6" ht="14.25" customHeight="1" x14ac:dyDescent="0.3">
      <c r="A347" s="48"/>
      <c r="B347" s="45"/>
      <c r="C347" s="45"/>
      <c r="D347" s="45"/>
      <c r="E347" s="45"/>
      <c r="F347" s="45"/>
    </row>
    <row r="348" spans="1:6" ht="14.25" customHeight="1" x14ac:dyDescent="0.3">
      <c r="A348" s="48"/>
      <c r="B348" s="45"/>
      <c r="C348" s="45"/>
      <c r="D348" s="45"/>
      <c r="E348" s="45"/>
      <c r="F348" s="45"/>
    </row>
    <row r="349" spans="1:6" ht="14.25" customHeight="1" x14ac:dyDescent="0.3">
      <c r="A349" s="48"/>
      <c r="B349" s="45"/>
      <c r="C349" s="45"/>
      <c r="D349" s="45"/>
      <c r="E349" s="45"/>
      <c r="F349" s="45"/>
    </row>
    <row r="350" spans="1:6" ht="14.25" customHeight="1" x14ac:dyDescent="0.3">
      <c r="A350" s="48"/>
      <c r="B350" s="45"/>
      <c r="C350" s="45"/>
      <c r="D350" s="45"/>
      <c r="E350" s="45"/>
      <c r="F350" s="45"/>
    </row>
    <row r="351" spans="1:6" ht="14.25" customHeight="1" x14ac:dyDescent="0.3">
      <c r="A351" s="48"/>
      <c r="B351" s="45"/>
      <c r="C351" s="45"/>
      <c r="D351" s="45"/>
      <c r="E351" s="45"/>
      <c r="F351" s="45"/>
    </row>
    <row r="352" spans="1:6" ht="14.25" customHeight="1" x14ac:dyDescent="0.3">
      <c r="A352" s="48"/>
      <c r="B352" s="45"/>
      <c r="C352" s="45"/>
      <c r="D352" s="45"/>
      <c r="E352" s="45"/>
      <c r="F352" s="45"/>
    </row>
    <row r="353" spans="1:6" ht="14.25" customHeight="1" x14ac:dyDescent="0.3">
      <c r="A353" s="48"/>
      <c r="B353" s="45"/>
      <c r="C353" s="45"/>
      <c r="D353" s="45"/>
      <c r="E353" s="45"/>
      <c r="F353" s="45"/>
    </row>
    <row r="354" spans="1:6" ht="14.25" customHeight="1" x14ac:dyDescent="0.3">
      <c r="A354" s="48"/>
      <c r="B354" s="45"/>
      <c r="C354" s="45"/>
      <c r="D354" s="45"/>
      <c r="E354" s="45"/>
      <c r="F354" s="45"/>
    </row>
    <row r="355" spans="1:6" ht="14.25" customHeight="1" x14ac:dyDescent="0.3">
      <c r="A355" s="48"/>
      <c r="B355" s="45"/>
      <c r="C355" s="45"/>
      <c r="D355" s="45"/>
      <c r="E355" s="45"/>
      <c r="F355" s="45"/>
    </row>
    <row r="356" spans="1:6" ht="14.25" customHeight="1" x14ac:dyDescent="0.3">
      <c r="A356" s="48"/>
      <c r="B356" s="45"/>
      <c r="C356" s="45"/>
      <c r="D356" s="45"/>
      <c r="E356" s="45"/>
      <c r="F356" s="45"/>
    </row>
    <row r="357" spans="1:6" ht="14.25" customHeight="1" x14ac:dyDescent="0.3">
      <c r="A357" s="48"/>
      <c r="B357" s="45"/>
      <c r="C357" s="45"/>
      <c r="D357" s="45"/>
      <c r="E357" s="45"/>
      <c r="F357" s="45"/>
    </row>
    <row r="358" spans="1:6" ht="14.25" customHeight="1" x14ac:dyDescent="0.3">
      <c r="A358" s="48"/>
      <c r="B358" s="45"/>
      <c r="C358" s="45"/>
      <c r="D358" s="45"/>
      <c r="E358" s="45"/>
      <c r="F358" s="45"/>
    </row>
    <row r="359" spans="1:6" ht="14.25" customHeight="1" x14ac:dyDescent="0.3">
      <c r="A359" s="48"/>
      <c r="B359" s="45"/>
      <c r="C359" s="45"/>
      <c r="D359" s="45"/>
      <c r="E359" s="45"/>
      <c r="F359" s="45"/>
    </row>
    <row r="360" spans="1:6" ht="14.25" customHeight="1" x14ac:dyDescent="0.3">
      <c r="A360" s="48"/>
      <c r="B360" s="45"/>
      <c r="C360" s="45"/>
      <c r="D360" s="45"/>
      <c r="E360" s="45"/>
      <c r="F360" s="45"/>
    </row>
    <row r="361" spans="1:6" ht="14.25" customHeight="1" x14ac:dyDescent="0.3">
      <c r="A361" s="48"/>
      <c r="B361" s="45"/>
      <c r="C361" s="45"/>
      <c r="D361" s="45"/>
      <c r="E361" s="45"/>
      <c r="F361" s="45"/>
    </row>
    <row r="362" spans="1:6" ht="14.25" customHeight="1" x14ac:dyDescent="0.3">
      <c r="A362" s="48"/>
      <c r="B362" s="45"/>
      <c r="C362" s="45"/>
      <c r="D362" s="45"/>
      <c r="E362" s="45"/>
      <c r="F362" s="45"/>
    </row>
    <row r="363" spans="1:6" ht="14.25" customHeight="1" x14ac:dyDescent="0.3">
      <c r="A363" s="48"/>
      <c r="B363" s="45"/>
      <c r="C363" s="45"/>
      <c r="D363" s="45"/>
      <c r="E363" s="45"/>
      <c r="F363" s="45"/>
    </row>
    <row r="364" spans="1:6" ht="14.25" customHeight="1" x14ac:dyDescent="0.3">
      <c r="A364" s="48"/>
      <c r="B364" s="45"/>
      <c r="C364" s="45"/>
      <c r="D364" s="45"/>
      <c r="E364" s="45"/>
      <c r="F364" s="45"/>
    </row>
    <row r="365" spans="1:6" ht="14.25" customHeight="1" x14ac:dyDescent="0.3">
      <c r="A365" s="48"/>
      <c r="B365" s="45"/>
      <c r="C365" s="45"/>
      <c r="D365" s="45"/>
      <c r="E365" s="45"/>
      <c r="F365" s="45"/>
    </row>
    <row r="366" spans="1:6" ht="14.25" customHeight="1" x14ac:dyDescent="0.3">
      <c r="A366" s="48"/>
      <c r="B366" s="45"/>
      <c r="C366" s="45"/>
      <c r="D366" s="45"/>
      <c r="E366" s="45"/>
      <c r="F366" s="45"/>
    </row>
    <row r="367" spans="1:6" ht="14.25" customHeight="1" x14ac:dyDescent="0.3">
      <c r="A367" s="48"/>
      <c r="B367" s="45"/>
      <c r="C367" s="45"/>
      <c r="D367" s="45"/>
      <c r="E367" s="45"/>
      <c r="F367" s="45"/>
    </row>
    <row r="368" spans="1:6" ht="14.25" customHeight="1" x14ac:dyDescent="0.3">
      <c r="A368" s="48"/>
      <c r="B368" s="45"/>
      <c r="C368" s="45"/>
      <c r="D368" s="45"/>
      <c r="E368" s="45"/>
      <c r="F368" s="45"/>
    </row>
    <row r="369" spans="1:6" ht="14.25" customHeight="1" x14ac:dyDescent="0.3">
      <c r="A369" s="48"/>
      <c r="B369" s="45"/>
      <c r="C369" s="45"/>
      <c r="D369" s="45"/>
      <c r="E369" s="45"/>
      <c r="F369" s="45"/>
    </row>
    <row r="370" spans="1:6" ht="14.25" customHeight="1" x14ac:dyDescent="0.3">
      <c r="A370" s="48"/>
      <c r="B370" s="45"/>
      <c r="C370" s="45"/>
      <c r="D370" s="45"/>
      <c r="E370" s="45"/>
      <c r="F370" s="45"/>
    </row>
    <row r="371" spans="1:6" ht="14.25" customHeight="1" x14ac:dyDescent="0.3">
      <c r="A371" s="48"/>
      <c r="B371" s="45"/>
      <c r="C371" s="45"/>
      <c r="D371" s="45"/>
      <c r="E371" s="45"/>
      <c r="F371" s="45"/>
    </row>
    <row r="372" spans="1:6" ht="14.25" customHeight="1" x14ac:dyDescent="0.3">
      <c r="A372" s="48"/>
      <c r="B372" s="45"/>
      <c r="C372" s="45"/>
      <c r="D372" s="45"/>
      <c r="E372" s="45"/>
      <c r="F372" s="45"/>
    </row>
    <row r="373" spans="1:6" ht="14.25" customHeight="1" x14ac:dyDescent="0.3">
      <c r="A373" s="48"/>
      <c r="B373" s="45"/>
      <c r="C373" s="45"/>
      <c r="D373" s="45"/>
      <c r="E373" s="45"/>
      <c r="F373" s="45"/>
    </row>
    <row r="374" spans="1:6" ht="14.25" customHeight="1" x14ac:dyDescent="0.3">
      <c r="A374" s="48"/>
      <c r="B374" s="45"/>
      <c r="C374" s="45"/>
      <c r="D374" s="45"/>
      <c r="E374" s="45"/>
      <c r="F374" s="45"/>
    </row>
    <row r="375" spans="1:6" ht="14.25" customHeight="1" x14ac:dyDescent="0.3">
      <c r="A375" s="48"/>
      <c r="B375" s="45"/>
      <c r="C375" s="45"/>
      <c r="D375" s="45"/>
      <c r="E375" s="45"/>
      <c r="F375" s="45"/>
    </row>
    <row r="376" spans="1:6" ht="14.25" customHeight="1" x14ac:dyDescent="0.3">
      <c r="A376" s="48"/>
      <c r="B376" s="45"/>
      <c r="C376" s="45"/>
      <c r="D376" s="45"/>
      <c r="E376" s="45"/>
      <c r="F376" s="45"/>
    </row>
    <row r="377" spans="1:6" ht="14.25" customHeight="1" x14ac:dyDescent="0.3">
      <c r="A377" s="48"/>
      <c r="B377" s="45"/>
      <c r="C377" s="45"/>
      <c r="D377" s="45"/>
      <c r="E377" s="45"/>
      <c r="F377" s="45"/>
    </row>
    <row r="378" spans="1:6" ht="14.25" customHeight="1" x14ac:dyDescent="0.3">
      <c r="A378" s="48"/>
      <c r="B378" s="45"/>
      <c r="C378" s="45"/>
      <c r="D378" s="45"/>
      <c r="E378" s="45"/>
      <c r="F378" s="45"/>
    </row>
    <row r="379" spans="1:6" ht="14.25" customHeight="1" x14ac:dyDescent="0.3">
      <c r="A379" s="48"/>
      <c r="B379" s="45"/>
      <c r="C379" s="45"/>
      <c r="D379" s="45"/>
      <c r="E379" s="45"/>
      <c r="F379" s="45"/>
    </row>
    <row r="380" spans="1:6" ht="14.25" customHeight="1" x14ac:dyDescent="0.3">
      <c r="A380" s="48"/>
      <c r="B380" s="45"/>
      <c r="C380" s="45"/>
      <c r="D380" s="45"/>
      <c r="E380" s="45"/>
      <c r="F380" s="45"/>
    </row>
    <row r="381" spans="1:6" ht="14.25" customHeight="1" x14ac:dyDescent="0.3">
      <c r="A381" s="48"/>
      <c r="B381" s="45"/>
      <c r="C381" s="45"/>
      <c r="D381" s="45"/>
      <c r="E381" s="45"/>
      <c r="F381" s="45"/>
    </row>
    <row r="382" spans="1:6" ht="14.25" customHeight="1" x14ac:dyDescent="0.3">
      <c r="A382" s="48"/>
      <c r="B382" s="45"/>
      <c r="C382" s="45"/>
      <c r="D382" s="45"/>
      <c r="E382" s="45"/>
      <c r="F382" s="45"/>
    </row>
    <row r="383" spans="1:6" ht="14.25" customHeight="1" x14ac:dyDescent="0.3">
      <c r="A383" s="48"/>
      <c r="B383" s="45"/>
      <c r="C383" s="45"/>
      <c r="D383" s="45"/>
      <c r="E383" s="45"/>
      <c r="F383" s="45"/>
    </row>
    <row r="384" spans="1:6" ht="14.25" customHeight="1" x14ac:dyDescent="0.3">
      <c r="A384" s="48"/>
      <c r="B384" s="45"/>
      <c r="C384" s="45"/>
      <c r="D384" s="45"/>
      <c r="E384" s="45"/>
      <c r="F384" s="45"/>
    </row>
    <row r="385" spans="1:6" ht="14.25" customHeight="1" x14ac:dyDescent="0.3">
      <c r="A385" s="48"/>
      <c r="B385" s="45"/>
      <c r="C385" s="45"/>
      <c r="D385" s="45"/>
      <c r="E385" s="45"/>
      <c r="F385" s="45"/>
    </row>
    <row r="386" spans="1:6" ht="14.25" customHeight="1" x14ac:dyDescent="0.3">
      <c r="A386" s="48"/>
      <c r="B386" s="45"/>
      <c r="C386" s="45"/>
      <c r="D386" s="45"/>
      <c r="E386" s="45"/>
      <c r="F386" s="45"/>
    </row>
    <row r="387" spans="1:6" ht="14.25" customHeight="1" x14ac:dyDescent="0.3">
      <c r="A387" s="48"/>
      <c r="B387" s="45"/>
      <c r="C387" s="45"/>
      <c r="D387" s="45"/>
      <c r="E387" s="45"/>
      <c r="F387" s="45"/>
    </row>
    <row r="388" spans="1:6" ht="14.25" customHeight="1" x14ac:dyDescent="0.3">
      <c r="A388" s="48"/>
      <c r="B388" s="45"/>
      <c r="C388" s="45"/>
      <c r="D388" s="45"/>
      <c r="E388" s="45"/>
      <c r="F388" s="45"/>
    </row>
    <row r="389" spans="1:6" ht="14.25" customHeight="1" x14ac:dyDescent="0.3">
      <c r="A389" s="48"/>
      <c r="B389" s="45"/>
      <c r="C389" s="45"/>
      <c r="D389" s="45"/>
      <c r="E389" s="45"/>
      <c r="F389" s="45"/>
    </row>
    <row r="390" spans="1:6" ht="14.25" customHeight="1" x14ac:dyDescent="0.3">
      <c r="A390" s="48"/>
      <c r="B390" s="45"/>
      <c r="C390" s="45"/>
      <c r="D390" s="45"/>
      <c r="E390" s="45"/>
      <c r="F390" s="45"/>
    </row>
    <row r="391" spans="1:6" ht="14.25" customHeight="1" x14ac:dyDescent="0.3">
      <c r="A391" s="48"/>
      <c r="B391" s="45"/>
      <c r="C391" s="45"/>
      <c r="D391" s="45"/>
      <c r="E391" s="45"/>
      <c r="F391" s="45"/>
    </row>
    <row r="392" spans="1:6" ht="14.25" customHeight="1" x14ac:dyDescent="0.3">
      <c r="A392" s="48"/>
      <c r="B392" s="45"/>
      <c r="C392" s="45"/>
      <c r="D392" s="45"/>
      <c r="E392" s="45"/>
      <c r="F392" s="45"/>
    </row>
    <row r="393" spans="1:6" ht="14.25" customHeight="1" x14ac:dyDescent="0.3">
      <c r="A393" s="48"/>
      <c r="B393" s="45"/>
      <c r="C393" s="45"/>
      <c r="D393" s="45"/>
      <c r="E393" s="45"/>
      <c r="F393" s="45"/>
    </row>
    <row r="394" spans="1:6" ht="14.25" customHeight="1" x14ac:dyDescent="0.3">
      <c r="A394" s="48"/>
      <c r="B394" s="45"/>
      <c r="C394" s="45"/>
      <c r="D394" s="45"/>
      <c r="E394" s="45"/>
      <c r="F394" s="45"/>
    </row>
    <row r="395" spans="1:6" ht="14.25" customHeight="1" x14ac:dyDescent="0.3">
      <c r="A395" s="48"/>
      <c r="B395" s="45"/>
      <c r="C395" s="45"/>
      <c r="D395" s="45"/>
      <c r="E395" s="45"/>
      <c r="F395" s="45"/>
    </row>
    <row r="396" spans="1:6" ht="14.25" customHeight="1" x14ac:dyDescent="0.3">
      <c r="A396" s="48"/>
      <c r="B396" s="45"/>
      <c r="C396" s="45"/>
      <c r="D396" s="45"/>
      <c r="E396" s="45"/>
      <c r="F396" s="45"/>
    </row>
    <row r="397" spans="1:6" ht="14.25" customHeight="1" x14ac:dyDescent="0.3">
      <c r="A397" s="48"/>
      <c r="B397" s="45"/>
      <c r="C397" s="45"/>
      <c r="D397" s="45"/>
      <c r="E397" s="45"/>
      <c r="F397" s="45"/>
    </row>
    <row r="398" spans="1:6" ht="14.25" customHeight="1" x14ac:dyDescent="0.3">
      <c r="A398" s="48"/>
      <c r="B398" s="45"/>
      <c r="C398" s="45"/>
      <c r="D398" s="45"/>
      <c r="E398" s="45"/>
      <c r="F398" s="45"/>
    </row>
    <row r="399" spans="1:6" ht="14.25" customHeight="1" x14ac:dyDescent="0.3">
      <c r="A399" s="48"/>
      <c r="B399" s="45"/>
      <c r="C399" s="45"/>
      <c r="D399" s="45"/>
      <c r="E399" s="45"/>
      <c r="F399" s="45"/>
    </row>
    <row r="400" spans="1:6" ht="14.25" customHeight="1" x14ac:dyDescent="0.3">
      <c r="A400" s="48"/>
      <c r="B400" s="45"/>
      <c r="C400" s="45"/>
      <c r="D400" s="45"/>
      <c r="E400" s="45"/>
      <c r="F400" s="45"/>
    </row>
    <row r="401" spans="1:6" ht="14.25" customHeight="1" x14ac:dyDescent="0.3">
      <c r="A401" s="48"/>
      <c r="B401" s="45"/>
      <c r="C401" s="45"/>
      <c r="D401" s="45"/>
      <c r="E401" s="45"/>
      <c r="F401" s="45"/>
    </row>
    <row r="402" spans="1:6" ht="14.25" customHeight="1" x14ac:dyDescent="0.3">
      <c r="A402" s="48"/>
      <c r="B402" s="45"/>
      <c r="C402" s="45"/>
      <c r="D402" s="45"/>
      <c r="E402" s="45"/>
      <c r="F402" s="45"/>
    </row>
    <row r="403" spans="1:6" ht="14.25" customHeight="1" x14ac:dyDescent="0.3">
      <c r="A403" s="48"/>
      <c r="B403" s="45"/>
      <c r="C403" s="45"/>
      <c r="D403" s="45"/>
      <c r="E403" s="45"/>
      <c r="F403" s="45"/>
    </row>
    <row r="404" spans="1:6" ht="14.25" customHeight="1" x14ac:dyDescent="0.3">
      <c r="A404" s="48"/>
      <c r="B404" s="45"/>
      <c r="C404" s="45"/>
      <c r="D404" s="45"/>
      <c r="E404" s="45"/>
      <c r="F404" s="45"/>
    </row>
    <row r="405" spans="1:6" ht="14.25" customHeight="1" x14ac:dyDescent="0.3">
      <c r="A405" s="48"/>
      <c r="B405" s="45"/>
      <c r="C405" s="45"/>
      <c r="D405" s="45"/>
      <c r="E405" s="45"/>
      <c r="F405" s="45"/>
    </row>
    <row r="406" spans="1:6" ht="14.25" customHeight="1" x14ac:dyDescent="0.3">
      <c r="A406" s="48"/>
      <c r="B406" s="45"/>
      <c r="C406" s="45"/>
      <c r="D406" s="45"/>
      <c r="E406" s="45"/>
      <c r="F406" s="45"/>
    </row>
    <row r="407" spans="1:6" ht="14.25" customHeight="1" x14ac:dyDescent="0.3">
      <c r="A407" s="48"/>
      <c r="B407" s="45"/>
      <c r="C407" s="45"/>
      <c r="D407" s="45"/>
      <c r="E407" s="45"/>
      <c r="F407" s="45"/>
    </row>
    <row r="408" spans="1:6" ht="14.25" customHeight="1" x14ac:dyDescent="0.3">
      <c r="A408" s="48"/>
      <c r="B408" s="45"/>
      <c r="C408" s="45"/>
      <c r="D408" s="45"/>
      <c r="E408" s="45"/>
      <c r="F408" s="45"/>
    </row>
    <row r="409" spans="1:6" ht="14.25" customHeight="1" x14ac:dyDescent="0.3">
      <c r="A409" s="48"/>
      <c r="B409" s="45"/>
      <c r="C409" s="45"/>
      <c r="D409" s="45"/>
      <c r="E409" s="45"/>
      <c r="F409" s="45"/>
    </row>
    <row r="410" spans="1:6" ht="14.25" customHeight="1" x14ac:dyDescent="0.3">
      <c r="A410" s="48"/>
      <c r="B410" s="45"/>
      <c r="C410" s="45"/>
      <c r="D410" s="45"/>
      <c r="E410" s="45"/>
      <c r="F410" s="45"/>
    </row>
    <row r="411" spans="1:6" ht="14.25" customHeight="1" x14ac:dyDescent="0.3">
      <c r="A411" s="48"/>
      <c r="B411" s="45"/>
      <c r="C411" s="45"/>
      <c r="D411" s="45"/>
      <c r="E411" s="45"/>
      <c r="F411" s="45"/>
    </row>
    <row r="412" spans="1:6" ht="14.25" customHeight="1" x14ac:dyDescent="0.3">
      <c r="A412" s="48"/>
      <c r="B412" s="45"/>
      <c r="C412" s="45"/>
      <c r="D412" s="45"/>
      <c r="E412" s="45"/>
      <c r="F412" s="45"/>
    </row>
    <row r="413" spans="1:6" ht="14.25" customHeight="1" x14ac:dyDescent="0.3">
      <c r="A413" s="48"/>
      <c r="B413" s="45"/>
      <c r="C413" s="45"/>
      <c r="D413" s="45"/>
      <c r="E413" s="45"/>
      <c r="F413" s="45"/>
    </row>
    <row r="414" spans="1:6" ht="14.25" customHeight="1" x14ac:dyDescent="0.3">
      <c r="A414" s="48"/>
      <c r="B414" s="45"/>
      <c r="C414" s="45"/>
      <c r="D414" s="45"/>
      <c r="E414" s="45"/>
      <c r="F414" s="45"/>
    </row>
    <row r="415" spans="1:6" ht="14.25" customHeight="1" x14ac:dyDescent="0.3">
      <c r="A415" s="48"/>
      <c r="B415" s="45"/>
      <c r="C415" s="45"/>
      <c r="D415" s="45"/>
      <c r="E415" s="45"/>
      <c r="F415" s="45"/>
    </row>
    <row r="416" spans="1:6" ht="14.25" customHeight="1" x14ac:dyDescent="0.3">
      <c r="A416" s="48"/>
      <c r="B416" s="45"/>
      <c r="C416" s="45"/>
      <c r="D416" s="45"/>
      <c r="E416" s="45"/>
      <c r="F416" s="45"/>
    </row>
    <row r="417" spans="1:6" ht="14.25" customHeight="1" x14ac:dyDescent="0.3">
      <c r="A417" s="48"/>
      <c r="B417" s="45"/>
      <c r="C417" s="45"/>
      <c r="D417" s="45"/>
      <c r="E417" s="45"/>
      <c r="F417" s="45"/>
    </row>
    <row r="418" spans="1:6" ht="14.25" customHeight="1" x14ac:dyDescent="0.3">
      <c r="A418" s="48"/>
      <c r="B418" s="45"/>
      <c r="C418" s="45"/>
      <c r="D418" s="45"/>
      <c r="E418" s="45"/>
      <c r="F418" s="45"/>
    </row>
    <row r="419" spans="1:6" ht="14.25" customHeight="1" x14ac:dyDescent="0.3">
      <c r="A419" s="48"/>
      <c r="B419" s="45"/>
      <c r="C419" s="45"/>
      <c r="D419" s="45"/>
      <c r="E419" s="45"/>
      <c r="F419" s="45"/>
    </row>
    <row r="420" spans="1:6" ht="14.25" customHeight="1" x14ac:dyDescent="0.3">
      <c r="A420" s="48"/>
      <c r="B420" s="45"/>
      <c r="C420" s="45"/>
      <c r="D420" s="45"/>
      <c r="E420" s="45"/>
      <c r="F420" s="45"/>
    </row>
    <row r="421" spans="1:6" ht="14.25" customHeight="1" x14ac:dyDescent="0.3">
      <c r="A421" s="48"/>
      <c r="B421" s="45"/>
      <c r="C421" s="45"/>
      <c r="D421" s="45"/>
      <c r="E421" s="45"/>
      <c r="F421" s="45"/>
    </row>
    <row r="422" spans="1:6" ht="14.25" customHeight="1" x14ac:dyDescent="0.3">
      <c r="A422" s="48"/>
      <c r="B422" s="45"/>
      <c r="C422" s="45"/>
      <c r="D422" s="45"/>
      <c r="E422" s="45"/>
      <c r="F422" s="45"/>
    </row>
    <row r="423" spans="1:6" ht="14.25" customHeight="1" x14ac:dyDescent="0.3">
      <c r="A423" s="48"/>
      <c r="B423" s="45"/>
      <c r="C423" s="45"/>
      <c r="D423" s="45"/>
      <c r="E423" s="45"/>
      <c r="F423" s="45"/>
    </row>
    <row r="424" spans="1:6" ht="14.25" customHeight="1" x14ac:dyDescent="0.3">
      <c r="A424" s="48"/>
      <c r="B424" s="45"/>
      <c r="C424" s="45"/>
      <c r="D424" s="45"/>
      <c r="E424" s="45"/>
      <c r="F424" s="45"/>
    </row>
    <row r="425" spans="1:6" ht="14.25" customHeight="1" x14ac:dyDescent="0.3">
      <c r="A425" s="48"/>
      <c r="B425" s="45"/>
      <c r="C425" s="45"/>
      <c r="D425" s="45"/>
      <c r="E425" s="45"/>
      <c r="F425" s="45"/>
    </row>
    <row r="426" spans="1:6" ht="14.25" customHeight="1" x14ac:dyDescent="0.3">
      <c r="A426" s="48"/>
      <c r="B426" s="45"/>
      <c r="C426" s="45"/>
      <c r="D426" s="45"/>
      <c r="E426" s="45"/>
      <c r="F426" s="45"/>
    </row>
    <row r="427" spans="1:6" ht="14.25" customHeight="1" x14ac:dyDescent="0.3">
      <c r="A427" s="48"/>
      <c r="B427" s="45"/>
      <c r="C427" s="45"/>
      <c r="D427" s="45"/>
      <c r="E427" s="45"/>
      <c r="F427" s="45"/>
    </row>
    <row r="428" spans="1:6" ht="14.25" customHeight="1" x14ac:dyDescent="0.3">
      <c r="A428" s="48"/>
      <c r="B428" s="45"/>
      <c r="C428" s="45"/>
      <c r="D428" s="45"/>
      <c r="E428" s="45"/>
      <c r="F428" s="45"/>
    </row>
    <row r="429" spans="1:6" ht="14.25" customHeight="1" x14ac:dyDescent="0.3">
      <c r="A429" s="48"/>
      <c r="B429" s="45"/>
      <c r="C429" s="45"/>
      <c r="D429" s="45"/>
      <c r="E429" s="45"/>
      <c r="F429" s="45"/>
    </row>
    <row r="430" spans="1:6" ht="14.25" customHeight="1" x14ac:dyDescent="0.3">
      <c r="A430" s="48"/>
      <c r="B430" s="45"/>
      <c r="C430" s="45"/>
      <c r="D430" s="45"/>
      <c r="E430" s="45"/>
      <c r="F430" s="45"/>
    </row>
    <row r="431" spans="1:6" ht="14.25" customHeight="1" x14ac:dyDescent="0.3">
      <c r="A431" s="48"/>
      <c r="B431" s="45"/>
      <c r="C431" s="45"/>
      <c r="D431" s="45"/>
      <c r="E431" s="45"/>
      <c r="F431" s="45"/>
    </row>
    <row r="432" spans="1:6" ht="14.25" customHeight="1" x14ac:dyDescent="0.3">
      <c r="A432" s="48"/>
      <c r="B432" s="45"/>
      <c r="C432" s="45"/>
      <c r="D432" s="45"/>
      <c r="E432" s="45"/>
      <c r="F432" s="45"/>
    </row>
    <row r="433" spans="1:6" ht="14.25" customHeight="1" x14ac:dyDescent="0.3">
      <c r="A433" s="48"/>
      <c r="B433" s="45"/>
      <c r="C433" s="45"/>
      <c r="D433" s="45"/>
      <c r="E433" s="45"/>
      <c r="F433" s="45"/>
    </row>
    <row r="434" spans="1:6" ht="14.25" customHeight="1" x14ac:dyDescent="0.3">
      <c r="A434" s="48"/>
      <c r="B434" s="45"/>
      <c r="C434" s="45"/>
      <c r="D434" s="45"/>
      <c r="E434" s="45"/>
      <c r="F434" s="45"/>
    </row>
    <row r="435" spans="1:6" ht="14.25" customHeight="1" x14ac:dyDescent="0.3">
      <c r="A435" s="48"/>
      <c r="B435" s="45"/>
      <c r="C435" s="45"/>
      <c r="D435" s="45"/>
      <c r="E435" s="45"/>
      <c r="F435" s="45"/>
    </row>
    <row r="436" spans="1:6" ht="14.25" customHeight="1" x14ac:dyDescent="0.3">
      <c r="A436" s="48"/>
      <c r="B436" s="45"/>
      <c r="C436" s="45"/>
      <c r="D436" s="45"/>
      <c r="E436" s="45"/>
      <c r="F436" s="45"/>
    </row>
    <row r="437" spans="1:6" ht="14.25" customHeight="1" x14ac:dyDescent="0.3">
      <c r="A437" s="48"/>
      <c r="B437" s="45"/>
      <c r="C437" s="45"/>
      <c r="D437" s="45"/>
      <c r="E437" s="45"/>
      <c r="F437" s="45"/>
    </row>
    <row r="438" spans="1:6" ht="14.25" customHeight="1" x14ac:dyDescent="0.3">
      <c r="A438" s="48"/>
      <c r="B438" s="45"/>
      <c r="C438" s="45"/>
      <c r="D438" s="45"/>
      <c r="E438" s="45"/>
      <c r="F438" s="45"/>
    </row>
    <row r="439" spans="1:6" ht="14.25" customHeight="1" x14ac:dyDescent="0.3">
      <c r="A439" s="48"/>
      <c r="B439" s="45"/>
      <c r="C439" s="45"/>
      <c r="D439" s="45"/>
      <c r="E439" s="45"/>
      <c r="F439" s="45"/>
    </row>
    <row r="440" spans="1:6" ht="14.25" customHeight="1" x14ac:dyDescent="0.3">
      <c r="A440" s="48"/>
      <c r="B440" s="45"/>
      <c r="C440" s="45"/>
      <c r="D440" s="45"/>
      <c r="E440" s="45"/>
      <c r="F440" s="45"/>
    </row>
    <row r="441" spans="1:6" ht="14.25" customHeight="1" x14ac:dyDescent="0.3">
      <c r="A441" s="48"/>
      <c r="B441" s="45"/>
      <c r="C441" s="45"/>
      <c r="D441" s="45"/>
      <c r="E441" s="45"/>
      <c r="F441" s="45"/>
    </row>
    <row r="442" spans="1:6" ht="14.25" customHeight="1" x14ac:dyDescent="0.3">
      <c r="A442" s="48"/>
      <c r="B442" s="45"/>
      <c r="C442" s="45"/>
      <c r="D442" s="45"/>
      <c r="E442" s="45"/>
      <c r="F442" s="45"/>
    </row>
    <row r="443" spans="1:6" ht="14.25" customHeight="1" x14ac:dyDescent="0.3">
      <c r="A443" s="48"/>
      <c r="B443" s="45"/>
      <c r="C443" s="45"/>
      <c r="D443" s="45"/>
      <c r="E443" s="45"/>
      <c r="F443" s="45"/>
    </row>
    <row r="444" spans="1:6" ht="14.25" customHeight="1" x14ac:dyDescent="0.3">
      <c r="A444" s="48"/>
      <c r="B444" s="45"/>
      <c r="C444" s="45"/>
      <c r="D444" s="45"/>
      <c r="E444" s="45"/>
      <c r="F444" s="45"/>
    </row>
    <row r="445" spans="1:6" ht="14.25" customHeight="1" x14ac:dyDescent="0.3">
      <c r="A445" s="48"/>
      <c r="B445" s="45"/>
      <c r="C445" s="45"/>
      <c r="D445" s="45"/>
      <c r="E445" s="45"/>
      <c r="F445" s="45"/>
    </row>
    <row r="446" spans="1:6" ht="14.25" customHeight="1" x14ac:dyDescent="0.3">
      <c r="A446" s="48"/>
      <c r="B446" s="45"/>
      <c r="C446" s="45"/>
      <c r="D446" s="45"/>
      <c r="E446" s="45"/>
      <c r="F446" s="45"/>
    </row>
    <row r="447" spans="1:6" ht="14.25" customHeight="1" x14ac:dyDescent="0.3">
      <c r="A447" s="48"/>
      <c r="B447" s="45"/>
      <c r="C447" s="45"/>
      <c r="D447" s="45"/>
      <c r="E447" s="45"/>
      <c r="F447" s="45"/>
    </row>
    <row r="448" spans="1:6" ht="14.25" customHeight="1" x14ac:dyDescent="0.3">
      <c r="A448" s="48"/>
      <c r="B448" s="45"/>
      <c r="C448" s="45"/>
      <c r="D448" s="45"/>
      <c r="E448" s="45"/>
      <c r="F448" s="45"/>
    </row>
    <row r="449" spans="1:6" ht="14.25" customHeight="1" x14ac:dyDescent="0.3">
      <c r="A449" s="48"/>
      <c r="B449" s="45"/>
      <c r="C449" s="45"/>
      <c r="D449" s="45"/>
      <c r="E449" s="45"/>
      <c r="F449" s="45"/>
    </row>
    <row r="450" spans="1:6" ht="14.25" customHeight="1" x14ac:dyDescent="0.3">
      <c r="A450" s="48"/>
      <c r="B450" s="45"/>
      <c r="C450" s="45"/>
      <c r="D450" s="45"/>
      <c r="E450" s="45"/>
      <c r="F450" s="45"/>
    </row>
    <row r="451" spans="1:6" ht="14.25" customHeight="1" x14ac:dyDescent="0.3">
      <c r="A451" s="48"/>
      <c r="B451" s="45"/>
      <c r="C451" s="45"/>
      <c r="D451" s="45"/>
      <c r="E451" s="45"/>
      <c r="F451" s="45"/>
    </row>
    <row r="452" spans="1:6" ht="14.25" customHeight="1" x14ac:dyDescent="0.3">
      <c r="A452" s="48"/>
      <c r="B452" s="45"/>
      <c r="C452" s="45"/>
      <c r="D452" s="45"/>
      <c r="E452" s="45"/>
      <c r="F452" s="45"/>
    </row>
    <row r="453" spans="1:6" ht="14.25" customHeight="1" x14ac:dyDescent="0.3">
      <c r="A453" s="48"/>
      <c r="B453" s="45"/>
      <c r="C453" s="45"/>
      <c r="D453" s="45"/>
      <c r="E453" s="45"/>
      <c r="F453" s="45"/>
    </row>
    <row r="454" spans="1:6" ht="14.25" customHeight="1" x14ac:dyDescent="0.3">
      <c r="A454" s="48"/>
      <c r="B454" s="45"/>
      <c r="C454" s="45"/>
      <c r="D454" s="45"/>
      <c r="E454" s="45"/>
      <c r="F454" s="45"/>
    </row>
    <row r="455" spans="1:6" ht="14.25" customHeight="1" x14ac:dyDescent="0.3">
      <c r="A455" s="48"/>
      <c r="B455" s="45"/>
      <c r="C455" s="45"/>
      <c r="D455" s="45"/>
      <c r="E455" s="45"/>
      <c r="F455" s="45"/>
    </row>
    <row r="456" spans="1:6" ht="14.25" customHeight="1" x14ac:dyDescent="0.3">
      <c r="A456" s="48"/>
      <c r="B456" s="45"/>
      <c r="C456" s="45"/>
      <c r="D456" s="45"/>
      <c r="E456" s="45"/>
      <c r="F456" s="45"/>
    </row>
    <row r="457" spans="1:6" ht="14.25" customHeight="1" x14ac:dyDescent="0.3">
      <c r="A457" s="48"/>
      <c r="B457" s="45"/>
      <c r="C457" s="45"/>
      <c r="D457" s="45"/>
      <c r="E457" s="45"/>
      <c r="F457" s="45"/>
    </row>
    <row r="458" spans="1:6" ht="14.25" customHeight="1" x14ac:dyDescent="0.3">
      <c r="A458" s="48"/>
      <c r="B458" s="45"/>
      <c r="C458" s="45"/>
      <c r="D458" s="45"/>
      <c r="E458" s="45"/>
      <c r="F458" s="45"/>
    </row>
    <row r="459" spans="1:6" ht="14.25" customHeight="1" x14ac:dyDescent="0.3">
      <c r="A459" s="48"/>
      <c r="B459" s="45"/>
      <c r="C459" s="45"/>
      <c r="D459" s="45"/>
      <c r="E459" s="45"/>
      <c r="F459" s="45"/>
    </row>
    <row r="460" spans="1:6" ht="14.25" customHeight="1" x14ac:dyDescent="0.3">
      <c r="A460" s="48"/>
      <c r="B460" s="45"/>
      <c r="C460" s="45"/>
      <c r="D460" s="45"/>
      <c r="E460" s="45"/>
      <c r="F460" s="45"/>
    </row>
    <row r="461" spans="1:6" ht="14.25" customHeight="1" x14ac:dyDescent="0.3">
      <c r="A461" s="48"/>
      <c r="B461" s="45"/>
      <c r="C461" s="45"/>
      <c r="D461" s="45"/>
      <c r="E461" s="45"/>
      <c r="F461" s="45"/>
    </row>
    <row r="462" spans="1:6" ht="14.25" customHeight="1" x14ac:dyDescent="0.3">
      <c r="A462" s="48"/>
      <c r="B462" s="45"/>
      <c r="C462" s="45"/>
      <c r="D462" s="45"/>
      <c r="E462" s="45"/>
      <c r="F462" s="45"/>
    </row>
    <row r="463" spans="1:6" ht="14.25" customHeight="1" x14ac:dyDescent="0.3">
      <c r="A463" s="48"/>
      <c r="B463" s="45"/>
      <c r="C463" s="45"/>
      <c r="D463" s="45"/>
      <c r="E463" s="45"/>
      <c r="F463" s="45"/>
    </row>
    <row r="464" spans="1:6" ht="14.25" customHeight="1" x14ac:dyDescent="0.3">
      <c r="A464" s="48"/>
      <c r="B464" s="45"/>
      <c r="C464" s="45"/>
      <c r="D464" s="45"/>
      <c r="E464" s="45"/>
      <c r="F464" s="45"/>
    </row>
    <row r="465" spans="1:6" ht="14.25" customHeight="1" x14ac:dyDescent="0.3">
      <c r="A465" s="48"/>
      <c r="B465" s="45"/>
      <c r="C465" s="45"/>
      <c r="D465" s="45"/>
      <c r="E465" s="45"/>
      <c r="F465" s="45"/>
    </row>
    <row r="466" spans="1:6" ht="14.25" customHeight="1" x14ac:dyDescent="0.3">
      <c r="A466" s="48"/>
      <c r="B466" s="45"/>
      <c r="C466" s="45"/>
      <c r="D466" s="45"/>
      <c r="E466" s="45"/>
      <c r="F466" s="45"/>
    </row>
    <row r="467" spans="1:6" ht="14.25" customHeight="1" x14ac:dyDescent="0.3">
      <c r="A467" s="48"/>
      <c r="B467" s="45"/>
      <c r="C467" s="45"/>
      <c r="D467" s="45"/>
      <c r="E467" s="45"/>
      <c r="F467" s="45"/>
    </row>
    <row r="468" spans="1:6" ht="14.25" customHeight="1" x14ac:dyDescent="0.3">
      <c r="A468" s="48"/>
      <c r="B468" s="45"/>
      <c r="C468" s="45"/>
      <c r="D468" s="45"/>
      <c r="E468" s="45"/>
      <c r="F468" s="45"/>
    </row>
    <row r="469" spans="1:6" ht="14.25" customHeight="1" x14ac:dyDescent="0.3">
      <c r="A469" s="48"/>
      <c r="B469" s="45"/>
      <c r="C469" s="45"/>
      <c r="D469" s="45"/>
      <c r="E469" s="45"/>
      <c r="F469" s="45"/>
    </row>
    <row r="470" spans="1:6" ht="14.25" customHeight="1" x14ac:dyDescent="0.3">
      <c r="A470" s="48"/>
      <c r="B470" s="45"/>
      <c r="C470" s="45"/>
      <c r="D470" s="45"/>
      <c r="E470" s="45"/>
      <c r="F470" s="45"/>
    </row>
    <row r="471" spans="1:6" ht="14.25" customHeight="1" x14ac:dyDescent="0.3">
      <c r="A471" s="48"/>
      <c r="B471" s="45"/>
      <c r="C471" s="45"/>
      <c r="D471" s="45"/>
      <c r="E471" s="45"/>
      <c r="F471" s="45"/>
    </row>
    <row r="472" spans="1:6" ht="14.25" customHeight="1" x14ac:dyDescent="0.3">
      <c r="A472" s="48"/>
      <c r="B472" s="45"/>
      <c r="C472" s="45"/>
      <c r="D472" s="45"/>
      <c r="E472" s="45"/>
      <c r="F472" s="45"/>
    </row>
    <row r="473" spans="1:6" ht="14.25" customHeight="1" x14ac:dyDescent="0.3">
      <c r="A473" s="48"/>
      <c r="B473" s="45"/>
      <c r="C473" s="45"/>
      <c r="D473" s="45"/>
      <c r="E473" s="45"/>
      <c r="F473" s="45"/>
    </row>
    <row r="474" spans="1:6" ht="14.25" customHeight="1" x14ac:dyDescent="0.3">
      <c r="A474" s="48"/>
      <c r="B474" s="45"/>
      <c r="C474" s="45"/>
      <c r="D474" s="45"/>
      <c r="E474" s="45"/>
      <c r="F474" s="45"/>
    </row>
    <row r="475" spans="1:6" ht="14.25" customHeight="1" x14ac:dyDescent="0.3">
      <c r="A475" s="48"/>
      <c r="B475" s="45"/>
      <c r="C475" s="45"/>
      <c r="D475" s="45"/>
      <c r="E475" s="45"/>
      <c r="F475" s="45"/>
    </row>
    <row r="476" spans="1:6" ht="14.25" customHeight="1" x14ac:dyDescent="0.3">
      <c r="A476" s="48"/>
      <c r="B476" s="45"/>
      <c r="C476" s="45"/>
      <c r="D476" s="45"/>
      <c r="E476" s="45"/>
      <c r="F476" s="45"/>
    </row>
    <row r="477" spans="1:6" ht="14.25" customHeight="1" x14ac:dyDescent="0.3">
      <c r="A477" s="48"/>
      <c r="B477" s="45"/>
      <c r="C477" s="45"/>
      <c r="D477" s="45"/>
      <c r="E477" s="45"/>
      <c r="F477" s="45"/>
    </row>
    <row r="478" spans="1:6" ht="14.25" customHeight="1" x14ac:dyDescent="0.3">
      <c r="A478" s="48"/>
      <c r="B478" s="45"/>
      <c r="C478" s="45"/>
      <c r="D478" s="45"/>
      <c r="E478" s="45"/>
      <c r="F478" s="45"/>
    </row>
    <row r="479" spans="1:6" ht="14.25" customHeight="1" x14ac:dyDescent="0.3">
      <c r="A479" s="48"/>
      <c r="B479" s="45"/>
      <c r="C479" s="45"/>
      <c r="D479" s="45"/>
      <c r="E479" s="45"/>
      <c r="F479" s="45"/>
    </row>
    <row r="480" spans="1:6" ht="14.25" customHeight="1" x14ac:dyDescent="0.3">
      <c r="A480" s="48"/>
      <c r="B480" s="45"/>
      <c r="C480" s="45"/>
      <c r="D480" s="45"/>
      <c r="E480" s="45"/>
      <c r="F480" s="45"/>
    </row>
    <row r="481" spans="1:6" ht="14.25" customHeight="1" x14ac:dyDescent="0.3">
      <c r="A481" s="48"/>
      <c r="B481" s="45"/>
      <c r="C481" s="45"/>
      <c r="D481" s="45"/>
      <c r="E481" s="45"/>
      <c r="F481" s="45"/>
    </row>
    <row r="482" spans="1:6" ht="14.25" customHeight="1" x14ac:dyDescent="0.3">
      <c r="A482" s="48"/>
      <c r="B482" s="45"/>
      <c r="C482" s="45"/>
      <c r="D482" s="45"/>
      <c r="E482" s="45"/>
      <c r="F482" s="45"/>
    </row>
    <row r="483" spans="1:6" ht="14.25" customHeight="1" x14ac:dyDescent="0.3">
      <c r="A483" s="48"/>
      <c r="B483" s="45"/>
      <c r="C483" s="45"/>
      <c r="D483" s="45"/>
      <c r="E483" s="45"/>
      <c r="F483" s="45"/>
    </row>
    <row r="484" spans="1:6" ht="14.25" customHeight="1" x14ac:dyDescent="0.3">
      <c r="A484" s="48"/>
      <c r="B484" s="45"/>
      <c r="C484" s="45"/>
      <c r="D484" s="45"/>
      <c r="E484" s="45"/>
      <c r="F484" s="45"/>
    </row>
    <row r="485" spans="1:6" ht="14.25" customHeight="1" x14ac:dyDescent="0.3">
      <c r="A485" s="48"/>
      <c r="B485" s="45"/>
      <c r="C485" s="45"/>
      <c r="D485" s="45"/>
      <c r="E485" s="45"/>
      <c r="F485" s="45"/>
    </row>
    <row r="486" spans="1:6" ht="14.25" customHeight="1" x14ac:dyDescent="0.3">
      <c r="A486" s="48"/>
      <c r="B486" s="45"/>
      <c r="C486" s="45"/>
      <c r="D486" s="45"/>
      <c r="E486" s="45"/>
      <c r="F486" s="45"/>
    </row>
    <row r="487" spans="1:6" ht="14.25" customHeight="1" x14ac:dyDescent="0.3">
      <c r="A487" s="48"/>
      <c r="B487" s="45"/>
      <c r="C487" s="45"/>
      <c r="D487" s="45"/>
      <c r="E487" s="45"/>
      <c r="F487" s="45"/>
    </row>
    <row r="488" spans="1:6" ht="14.25" customHeight="1" x14ac:dyDescent="0.3">
      <c r="A488" s="48"/>
      <c r="B488" s="45"/>
      <c r="C488" s="45"/>
      <c r="D488" s="45"/>
      <c r="E488" s="45"/>
      <c r="F488" s="45"/>
    </row>
    <row r="489" spans="1:6" ht="14.25" customHeight="1" x14ac:dyDescent="0.3">
      <c r="A489" s="48"/>
      <c r="B489" s="45"/>
      <c r="C489" s="45"/>
      <c r="D489" s="45"/>
      <c r="E489" s="45"/>
      <c r="F489" s="45"/>
    </row>
    <row r="490" spans="1:6" ht="14.25" customHeight="1" x14ac:dyDescent="0.3">
      <c r="A490" s="48"/>
      <c r="B490" s="45"/>
      <c r="C490" s="45"/>
      <c r="D490" s="45"/>
      <c r="E490" s="45"/>
      <c r="F490" s="45"/>
    </row>
    <row r="491" spans="1:6" ht="14.25" customHeight="1" x14ac:dyDescent="0.3">
      <c r="A491" s="48"/>
      <c r="B491" s="45"/>
      <c r="C491" s="45"/>
      <c r="D491" s="45"/>
      <c r="E491" s="45"/>
      <c r="F491" s="45"/>
    </row>
    <row r="492" spans="1:6" ht="14.25" customHeight="1" x14ac:dyDescent="0.3">
      <c r="A492" s="48"/>
      <c r="B492" s="45"/>
      <c r="C492" s="45"/>
      <c r="D492" s="45"/>
      <c r="E492" s="45"/>
      <c r="F492" s="45"/>
    </row>
    <row r="493" spans="1:6" ht="14.25" customHeight="1" x14ac:dyDescent="0.3">
      <c r="A493" s="48"/>
      <c r="B493" s="45"/>
      <c r="C493" s="45"/>
      <c r="D493" s="45"/>
      <c r="E493" s="45"/>
      <c r="F493" s="45"/>
    </row>
    <row r="494" spans="1:6" ht="14.25" customHeight="1" x14ac:dyDescent="0.3">
      <c r="A494" s="48"/>
      <c r="B494" s="45"/>
      <c r="C494" s="45"/>
      <c r="D494" s="45"/>
      <c r="E494" s="45"/>
      <c r="F494" s="45"/>
    </row>
    <row r="495" spans="1:6" ht="14.25" customHeight="1" x14ac:dyDescent="0.3">
      <c r="A495" s="48"/>
      <c r="B495" s="45"/>
      <c r="C495" s="45"/>
      <c r="D495" s="45"/>
      <c r="E495" s="45"/>
      <c r="F495" s="45"/>
    </row>
    <row r="496" spans="1:6" ht="14.25" customHeight="1" x14ac:dyDescent="0.3">
      <c r="A496" s="48"/>
      <c r="B496" s="45"/>
      <c r="C496" s="45"/>
      <c r="D496" s="45"/>
      <c r="E496" s="45"/>
      <c r="F496" s="45"/>
    </row>
    <row r="497" spans="1:6" ht="14.25" customHeight="1" x14ac:dyDescent="0.3">
      <c r="A497" s="48"/>
      <c r="B497" s="45"/>
      <c r="C497" s="45"/>
      <c r="D497" s="45"/>
      <c r="E497" s="45"/>
      <c r="F497" s="45"/>
    </row>
    <row r="498" spans="1:6" ht="14.25" customHeight="1" x14ac:dyDescent="0.3">
      <c r="A498" s="48"/>
      <c r="B498" s="45"/>
      <c r="C498" s="45"/>
      <c r="D498" s="45"/>
      <c r="E498" s="45"/>
      <c r="F498" s="45"/>
    </row>
    <row r="499" spans="1:6" ht="14.25" customHeight="1" x14ac:dyDescent="0.3">
      <c r="A499" s="48"/>
      <c r="B499" s="45"/>
      <c r="C499" s="45"/>
      <c r="D499" s="45"/>
      <c r="E499" s="45"/>
      <c r="F499" s="45"/>
    </row>
    <row r="500" spans="1:6" ht="14.25" customHeight="1" x14ac:dyDescent="0.3">
      <c r="A500" s="48"/>
      <c r="B500" s="45"/>
      <c r="C500" s="45"/>
      <c r="D500" s="45"/>
      <c r="E500" s="45"/>
      <c r="F500" s="45"/>
    </row>
    <row r="501" spans="1:6" ht="14.25" customHeight="1" x14ac:dyDescent="0.3">
      <c r="A501" s="48"/>
      <c r="B501" s="45"/>
      <c r="C501" s="45"/>
      <c r="D501" s="45"/>
      <c r="E501" s="45"/>
      <c r="F501" s="45"/>
    </row>
    <row r="502" spans="1:6" ht="14.25" customHeight="1" x14ac:dyDescent="0.3">
      <c r="A502" s="48"/>
      <c r="B502" s="45"/>
      <c r="C502" s="45"/>
      <c r="D502" s="45"/>
      <c r="E502" s="45"/>
      <c r="F502" s="45"/>
    </row>
    <row r="503" spans="1:6" ht="14.25" customHeight="1" x14ac:dyDescent="0.3">
      <c r="A503" s="48"/>
      <c r="B503" s="45"/>
      <c r="C503" s="45"/>
      <c r="D503" s="45"/>
      <c r="E503" s="45"/>
      <c r="F503" s="45"/>
    </row>
    <row r="504" spans="1:6" ht="14.25" customHeight="1" x14ac:dyDescent="0.3">
      <c r="A504" s="48"/>
      <c r="B504" s="45"/>
      <c r="C504" s="45"/>
      <c r="D504" s="45"/>
      <c r="E504" s="45"/>
      <c r="F504" s="45"/>
    </row>
    <row r="505" spans="1:6" ht="14.25" customHeight="1" x14ac:dyDescent="0.3">
      <c r="A505" s="48"/>
      <c r="B505" s="45"/>
      <c r="C505" s="45"/>
      <c r="D505" s="45"/>
      <c r="E505" s="45"/>
      <c r="F505" s="45"/>
    </row>
    <row r="506" spans="1:6" ht="14.25" customHeight="1" x14ac:dyDescent="0.3">
      <c r="A506" s="48"/>
      <c r="B506" s="45"/>
      <c r="C506" s="45"/>
      <c r="D506" s="45"/>
      <c r="E506" s="45"/>
      <c r="F506" s="45"/>
    </row>
    <row r="507" spans="1:6" ht="14.25" customHeight="1" x14ac:dyDescent="0.3">
      <c r="A507" s="48"/>
      <c r="B507" s="45"/>
      <c r="C507" s="45"/>
      <c r="D507" s="45"/>
      <c r="E507" s="45"/>
      <c r="F507" s="45"/>
    </row>
    <row r="508" spans="1:6" ht="14.25" customHeight="1" x14ac:dyDescent="0.3">
      <c r="A508" s="48"/>
      <c r="B508" s="45"/>
      <c r="C508" s="45"/>
      <c r="D508" s="45"/>
      <c r="E508" s="45"/>
      <c r="F508" s="45"/>
    </row>
    <row r="509" spans="1:6" ht="14.25" customHeight="1" x14ac:dyDescent="0.3">
      <c r="A509" s="48"/>
      <c r="B509" s="45"/>
      <c r="C509" s="45"/>
      <c r="D509" s="45"/>
      <c r="E509" s="45"/>
      <c r="F509" s="45"/>
    </row>
    <row r="510" spans="1:6" ht="14.25" customHeight="1" x14ac:dyDescent="0.3">
      <c r="A510" s="48"/>
      <c r="B510" s="45"/>
      <c r="C510" s="45"/>
      <c r="D510" s="45"/>
      <c r="E510" s="45"/>
      <c r="F510" s="45"/>
    </row>
    <row r="511" spans="1:6" ht="14.25" customHeight="1" x14ac:dyDescent="0.3">
      <c r="A511" s="48"/>
      <c r="B511" s="45"/>
      <c r="C511" s="45"/>
      <c r="D511" s="45"/>
      <c r="E511" s="45"/>
      <c r="F511" s="45"/>
    </row>
    <row r="512" spans="1:6" ht="14.25" customHeight="1" x14ac:dyDescent="0.3">
      <c r="A512" s="48"/>
      <c r="B512" s="45"/>
      <c r="C512" s="45"/>
      <c r="D512" s="45"/>
      <c r="E512" s="45"/>
      <c r="F512" s="45"/>
    </row>
    <row r="513" spans="1:6" ht="14.25" customHeight="1" x14ac:dyDescent="0.3">
      <c r="A513" s="48"/>
      <c r="B513" s="45"/>
      <c r="C513" s="45"/>
      <c r="D513" s="45"/>
      <c r="E513" s="45"/>
      <c r="F513" s="45"/>
    </row>
    <row r="514" spans="1:6" ht="14.25" customHeight="1" x14ac:dyDescent="0.3">
      <c r="A514" s="48"/>
      <c r="B514" s="45"/>
      <c r="C514" s="45"/>
      <c r="D514" s="45"/>
      <c r="E514" s="45"/>
      <c r="F514" s="45"/>
    </row>
    <row r="515" spans="1:6" ht="14.25" customHeight="1" x14ac:dyDescent="0.3">
      <c r="A515" s="48"/>
      <c r="B515" s="45"/>
      <c r="C515" s="45"/>
      <c r="D515" s="45"/>
      <c r="E515" s="45"/>
      <c r="F515" s="45"/>
    </row>
    <row r="516" spans="1:6" ht="14.25" customHeight="1" x14ac:dyDescent="0.3">
      <c r="A516" s="48"/>
      <c r="B516" s="45"/>
      <c r="C516" s="45"/>
      <c r="D516" s="45"/>
      <c r="E516" s="45"/>
      <c r="F516" s="45"/>
    </row>
    <row r="517" spans="1:6" ht="14.25" customHeight="1" x14ac:dyDescent="0.3">
      <c r="A517" s="48"/>
      <c r="B517" s="45"/>
      <c r="C517" s="45"/>
      <c r="D517" s="45"/>
      <c r="E517" s="45"/>
      <c r="F517" s="45"/>
    </row>
    <row r="518" spans="1:6" ht="14.25" customHeight="1" x14ac:dyDescent="0.3">
      <c r="A518" s="48"/>
      <c r="B518" s="45"/>
      <c r="C518" s="45"/>
      <c r="D518" s="45"/>
      <c r="E518" s="45"/>
      <c r="F518" s="45"/>
    </row>
    <row r="519" spans="1:6" ht="14.25" customHeight="1" x14ac:dyDescent="0.3">
      <c r="A519" s="48"/>
      <c r="B519" s="45"/>
      <c r="C519" s="45"/>
      <c r="D519" s="45"/>
      <c r="E519" s="45"/>
      <c r="F519" s="45"/>
    </row>
    <row r="520" spans="1:6" ht="14.25" customHeight="1" x14ac:dyDescent="0.3">
      <c r="A520" s="48"/>
      <c r="B520" s="45"/>
      <c r="C520" s="45"/>
      <c r="D520" s="45"/>
      <c r="E520" s="45"/>
      <c r="F520" s="45"/>
    </row>
    <row r="521" spans="1:6" ht="14.25" customHeight="1" x14ac:dyDescent="0.3">
      <c r="A521" s="48"/>
      <c r="B521" s="45"/>
      <c r="C521" s="45"/>
      <c r="D521" s="45"/>
      <c r="E521" s="45"/>
      <c r="F521" s="45"/>
    </row>
    <row r="522" spans="1:6" ht="14.25" customHeight="1" x14ac:dyDescent="0.3">
      <c r="A522" s="48"/>
      <c r="B522" s="45"/>
      <c r="C522" s="45"/>
      <c r="D522" s="45"/>
      <c r="E522" s="45"/>
      <c r="F522" s="45"/>
    </row>
    <row r="523" spans="1:6" ht="14.25" customHeight="1" x14ac:dyDescent="0.3">
      <c r="A523" s="48"/>
      <c r="B523" s="45"/>
      <c r="C523" s="45"/>
      <c r="D523" s="45"/>
      <c r="E523" s="45"/>
      <c r="F523" s="45"/>
    </row>
    <row r="524" spans="1:6" ht="14.25" customHeight="1" x14ac:dyDescent="0.3">
      <c r="A524" s="48"/>
      <c r="B524" s="45"/>
      <c r="C524" s="45"/>
      <c r="D524" s="45"/>
      <c r="E524" s="45"/>
      <c r="F524" s="45"/>
    </row>
    <row r="525" spans="1:6" ht="14.25" customHeight="1" x14ac:dyDescent="0.3">
      <c r="A525" s="48"/>
      <c r="B525" s="45"/>
      <c r="C525" s="45"/>
      <c r="D525" s="45"/>
      <c r="E525" s="45"/>
      <c r="F525" s="45"/>
    </row>
    <row r="526" spans="1:6" ht="14.25" customHeight="1" x14ac:dyDescent="0.3">
      <c r="A526" s="48"/>
      <c r="B526" s="45"/>
      <c r="C526" s="45"/>
      <c r="D526" s="45"/>
      <c r="E526" s="45"/>
      <c r="F526" s="45"/>
    </row>
    <row r="527" spans="1:6" ht="14.25" customHeight="1" x14ac:dyDescent="0.3">
      <c r="A527" s="48"/>
      <c r="B527" s="45"/>
      <c r="C527" s="45"/>
      <c r="D527" s="45"/>
      <c r="E527" s="45"/>
      <c r="F527" s="45"/>
    </row>
    <row r="528" spans="1:6" ht="14.25" customHeight="1" x14ac:dyDescent="0.3">
      <c r="A528" s="48"/>
      <c r="B528" s="45"/>
      <c r="C528" s="45"/>
      <c r="D528" s="45"/>
      <c r="E528" s="45"/>
      <c r="F528" s="45"/>
    </row>
    <row r="529" spans="1:6" ht="14.25" customHeight="1" x14ac:dyDescent="0.3">
      <c r="A529" s="48"/>
      <c r="B529" s="45"/>
      <c r="C529" s="45"/>
      <c r="D529" s="45"/>
      <c r="E529" s="45"/>
      <c r="F529" s="45"/>
    </row>
    <row r="530" spans="1:6" ht="14.25" customHeight="1" x14ac:dyDescent="0.3">
      <c r="A530" s="48"/>
      <c r="B530" s="45"/>
      <c r="C530" s="45"/>
      <c r="D530" s="45"/>
      <c r="E530" s="45"/>
      <c r="F530" s="45"/>
    </row>
    <row r="531" spans="1:6" ht="14.25" customHeight="1" x14ac:dyDescent="0.3">
      <c r="A531" s="48"/>
      <c r="B531" s="45"/>
      <c r="C531" s="45"/>
      <c r="D531" s="45"/>
      <c r="E531" s="45"/>
      <c r="F531" s="45"/>
    </row>
    <row r="532" spans="1:6" ht="14.25" customHeight="1" x14ac:dyDescent="0.3">
      <c r="A532" s="48"/>
      <c r="B532" s="45"/>
      <c r="C532" s="45"/>
      <c r="D532" s="45"/>
      <c r="E532" s="45"/>
      <c r="F532" s="45"/>
    </row>
    <row r="533" spans="1:6" ht="14.25" customHeight="1" x14ac:dyDescent="0.3">
      <c r="A533" s="48"/>
      <c r="B533" s="45"/>
      <c r="C533" s="45"/>
      <c r="D533" s="45"/>
      <c r="E533" s="45"/>
      <c r="F533" s="45"/>
    </row>
    <row r="534" spans="1:6" ht="14.25" customHeight="1" x14ac:dyDescent="0.3">
      <c r="A534" s="48"/>
      <c r="B534" s="45"/>
      <c r="C534" s="45"/>
      <c r="D534" s="45"/>
      <c r="E534" s="45"/>
      <c r="F534" s="45"/>
    </row>
    <row r="535" spans="1:6" ht="14.25" customHeight="1" x14ac:dyDescent="0.3">
      <c r="A535" s="48"/>
      <c r="B535" s="45"/>
      <c r="C535" s="45"/>
      <c r="D535" s="45"/>
      <c r="E535" s="45"/>
      <c r="F535" s="45"/>
    </row>
    <row r="536" spans="1:6" ht="14.25" customHeight="1" x14ac:dyDescent="0.3">
      <c r="A536" s="48"/>
      <c r="B536" s="45"/>
      <c r="C536" s="45"/>
      <c r="D536" s="45"/>
      <c r="E536" s="45"/>
      <c r="F536" s="45"/>
    </row>
    <row r="537" spans="1:6" ht="14.25" customHeight="1" x14ac:dyDescent="0.3">
      <c r="A537" s="48"/>
      <c r="B537" s="45"/>
      <c r="C537" s="45"/>
      <c r="D537" s="45"/>
      <c r="E537" s="45"/>
      <c r="F537" s="45"/>
    </row>
    <row r="538" spans="1:6" ht="14.25" customHeight="1" x14ac:dyDescent="0.3">
      <c r="A538" s="48"/>
      <c r="B538" s="45"/>
      <c r="C538" s="45"/>
      <c r="D538" s="45"/>
      <c r="E538" s="45"/>
      <c r="F538" s="45"/>
    </row>
    <row r="539" spans="1:6" ht="14.25" customHeight="1" x14ac:dyDescent="0.3">
      <c r="A539" s="48"/>
      <c r="B539" s="45"/>
      <c r="C539" s="45"/>
      <c r="D539" s="45"/>
      <c r="E539" s="45"/>
      <c r="F539" s="45"/>
    </row>
    <row r="540" spans="1:6" ht="14.25" customHeight="1" x14ac:dyDescent="0.3">
      <c r="A540" s="48"/>
      <c r="B540" s="45"/>
      <c r="C540" s="45"/>
      <c r="D540" s="45"/>
      <c r="E540" s="45"/>
      <c r="F540" s="45"/>
    </row>
    <row r="541" spans="1:6" ht="14.25" customHeight="1" x14ac:dyDescent="0.3">
      <c r="A541" s="48"/>
      <c r="B541" s="45"/>
      <c r="C541" s="45"/>
      <c r="D541" s="45"/>
      <c r="E541" s="45"/>
      <c r="F541" s="45"/>
    </row>
    <row r="542" spans="1:6" ht="14.25" customHeight="1" x14ac:dyDescent="0.3">
      <c r="A542" s="48"/>
      <c r="B542" s="45"/>
      <c r="C542" s="45"/>
      <c r="D542" s="45"/>
      <c r="E542" s="45"/>
      <c r="F542" s="45"/>
    </row>
    <row r="543" spans="1:6" ht="14.25" customHeight="1" x14ac:dyDescent="0.3">
      <c r="A543" s="48"/>
      <c r="B543" s="45"/>
      <c r="C543" s="45"/>
      <c r="D543" s="45"/>
      <c r="E543" s="45"/>
      <c r="F543" s="45"/>
    </row>
    <row r="544" spans="1:6" ht="14.25" customHeight="1" x14ac:dyDescent="0.3">
      <c r="A544" s="48"/>
      <c r="B544" s="45"/>
      <c r="C544" s="45"/>
      <c r="D544" s="45"/>
      <c r="E544" s="45"/>
      <c r="F544" s="45"/>
    </row>
    <row r="545" spans="1:6" ht="14.25" customHeight="1" x14ac:dyDescent="0.3">
      <c r="A545" s="48"/>
      <c r="B545" s="45"/>
      <c r="C545" s="45"/>
      <c r="D545" s="45"/>
      <c r="E545" s="45"/>
      <c r="F545" s="45"/>
    </row>
    <row r="546" spans="1:6" ht="14.25" customHeight="1" x14ac:dyDescent="0.3">
      <c r="A546" s="48"/>
      <c r="B546" s="45"/>
      <c r="C546" s="45"/>
      <c r="D546" s="45"/>
      <c r="E546" s="45"/>
      <c r="F546" s="45"/>
    </row>
    <row r="547" spans="1:6" ht="14.25" customHeight="1" x14ac:dyDescent="0.3">
      <c r="A547" s="48"/>
      <c r="B547" s="45"/>
      <c r="C547" s="45"/>
      <c r="D547" s="45"/>
      <c r="E547" s="45"/>
      <c r="F547" s="45"/>
    </row>
    <row r="548" spans="1:6" ht="14.25" customHeight="1" x14ac:dyDescent="0.3">
      <c r="A548" s="48"/>
      <c r="B548" s="45"/>
      <c r="C548" s="45"/>
      <c r="D548" s="45"/>
      <c r="E548" s="45"/>
      <c r="F548" s="45"/>
    </row>
    <row r="549" spans="1:6" ht="14.25" customHeight="1" x14ac:dyDescent="0.3">
      <c r="A549" s="48"/>
      <c r="B549" s="45"/>
      <c r="C549" s="45"/>
      <c r="D549" s="45"/>
      <c r="E549" s="45"/>
      <c r="F549" s="45"/>
    </row>
    <row r="550" spans="1:6" ht="14.25" customHeight="1" x14ac:dyDescent="0.3">
      <c r="A550" s="48"/>
      <c r="B550" s="45"/>
      <c r="C550" s="45"/>
      <c r="D550" s="45"/>
      <c r="E550" s="45"/>
      <c r="F550" s="45"/>
    </row>
    <row r="551" spans="1:6" ht="14.25" customHeight="1" x14ac:dyDescent="0.3">
      <c r="A551" s="48"/>
      <c r="B551" s="45"/>
      <c r="C551" s="45"/>
      <c r="D551" s="45"/>
      <c r="E551" s="45"/>
      <c r="F551" s="45"/>
    </row>
    <row r="552" spans="1:6" ht="14.25" customHeight="1" x14ac:dyDescent="0.3">
      <c r="A552" s="48"/>
      <c r="B552" s="45"/>
      <c r="C552" s="45"/>
      <c r="D552" s="45"/>
      <c r="E552" s="45"/>
      <c r="F552" s="45"/>
    </row>
    <row r="553" spans="1:6" ht="14.25" customHeight="1" x14ac:dyDescent="0.3">
      <c r="A553" s="48"/>
      <c r="B553" s="45"/>
      <c r="C553" s="45"/>
      <c r="D553" s="45"/>
      <c r="E553" s="45"/>
      <c r="F553" s="45"/>
    </row>
    <row r="554" spans="1:6" ht="14.25" customHeight="1" x14ac:dyDescent="0.3">
      <c r="A554" s="48"/>
      <c r="B554" s="45"/>
      <c r="C554" s="45"/>
      <c r="D554" s="45"/>
      <c r="E554" s="45"/>
      <c r="F554" s="45"/>
    </row>
    <row r="555" spans="1:6" ht="14.25" customHeight="1" x14ac:dyDescent="0.3">
      <c r="A555" s="48"/>
      <c r="B555" s="45"/>
      <c r="C555" s="45"/>
      <c r="D555" s="45"/>
      <c r="E555" s="45"/>
      <c r="F555" s="45"/>
    </row>
    <row r="556" spans="1:6" ht="14.25" customHeight="1" x14ac:dyDescent="0.3">
      <c r="A556" s="48"/>
      <c r="B556" s="45"/>
      <c r="C556" s="45"/>
      <c r="D556" s="45"/>
      <c r="E556" s="45"/>
      <c r="F556" s="45"/>
    </row>
    <row r="557" spans="1:6" ht="14.25" customHeight="1" x14ac:dyDescent="0.3">
      <c r="A557" s="48"/>
      <c r="B557" s="45"/>
      <c r="C557" s="45"/>
      <c r="D557" s="45"/>
      <c r="E557" s="45"/>
      <c r="F557" s="45"/>
    </row>
    <row r="558" spans="1:6" ht="14.25" customHeight="1" x14ac:dyDescent="0.3">
      <c r="A558" s="48"/>
      <c r="B558" s="45"/>
      <c r="C558" s="45"/>
      <c r="D558" s="45"/>
      <c r="E558" s="45"/>
      <c r="F558" s="45"/>
    </row>
    <row r="559" spans="1:6" ht="14.25" customHeight="1" x14ac:dyDescent="0.3">
      <c r="A559" s="48"/>
      <c r="B559" s="45"/>
      <c r="C559" s="45"/>
      <c r="D559" s="45"/>
      <c r="E559" s="45"/>
      <c r="F559" s="45"/>
    </row>
    <row r="560" spans="1:6" ht="14.25" customHeight="1" x14ac:dyDescent="0.3">
      <c r="A560" s="48"/>
      <c r="B560" s="45"/>
      <c r="C560" s="45"/>
      <c r="D560" s="45"/>
      <c r="E560" s="45"/>
      <c r="F560" s="45"/>
    </row>
    <row r="561" spans="1:6" ht="14.25" customHeight="1" x14ac:dyDescent="0.3">
      <c r="A561" s="48"/>
      <c r="B561" s="45"/>
      <c r="C561" s="45"/>
      <c r="D561" s="45"/>
      <c r="E561" s="45"/>
      <c r="F561" s="45"/>
    </row>
    <row r="562" spans="1:6" ht="14.25" customHeight="1" x14ac:dyDescent="0.3">
      <c r="A562" s="48"/>
      <c r="B562" s="45"/>
      <c r="C562" s="45"/>
      <c r="D562" s="45"/>
      <c r="E562" s="45"/>
      <c r="F562" s="45"/>
    </row>
    <row r="563" spans="1:6" ht="14.25" customHeight="1" x14ac:dyDescent="0.3">
      <c r="A563" s="48"/>
      <c r="B563" s="45"/>
      <c r="C563" s="45"/>
      <c r="D563" s="45"/>
      <c r="E563" s="45"/>
      <c r="F563" s="45"/>
    </row>
    <row r="564" spans="1:6" ht="14.25" customHeight="1" x14ac:dyDescent="0.3">
      <c r="A564" s="48"/>
      <c r="B564" s="45"/>
      <c r="C564" s="45"/>
      <c r="D564" s="45"/>
      <c r="E564" s="45"/>
      <c r="F564" s="45"/>
    </row>
    <row r="565" spans="1:6" ht="14.25" customHeight="1" x14ac:dyDescent="0.3">
      <c r="A565" s="48"/>
      <c r="B565" s="45"/>
      <c r="C565" s="45"/>
      <c r="D565" s="45"/>
      <c r="E565" s="45"/>
      <c r="F565" s="45"/>
    </row>
    <row r="566" spans="1:6" ht="14.25" customHeight="1" x14ac:dyDescent="0.3">
      <c r="A566" s="48"/>
      <c r="B566" s="45"/>
      <c r="C566" s="45"/>
      <c r="D566" s="45"/>
      <c r="E566" s="45"/>
      <c r="F566" s="45"/>
    </row>
    <row r="567" spans="1:6" ht="14.25" customHeight="1" x14ac:dyDescent="0.3">
      <c r="A567" s="48"/>
      <c r="B567" s="45"/>
      <c r="C567" s="45"/>
      <c r="D567" s="45"/>
      <c r="E567" s="45"/>
      <c r="F567" s="45"/>
    </row>
    <row r="568" spans="1:6" ht="14.25" customHeight="1" x14ac:dyDescent="0.3">
      <c r="A568" s="48"/>
      <c r="B568" s="45"/>
      <c r="C568" s="45"/>
      <c r="D568" s="45"/>
      <c r="E568" s="45"/>
      <c r="F568" s="45"/>
    </row>
    <row r="569" spans="1:6" ht="14.25" customHeight="1" x14ac:dyDescent="0.3">
      <c r="A569" s="48"/>
      <c r="B569" s="45"/>
      <c r="C569" s="45"/>
      <c r="D569" s="45"/>
      <c r="E569" s="45"/>
      <c r="F569" s="45"/>
    </row>
    <row r="570" spans="1:6" ht="14.25" customHeight="1" x14ac:dyDescent="0.3">
      <c r="A570" s="48"/>
      <c r="B570" s="45"/>
      <c r="C570" s="45"/>
      <c r="D570" s="45"/>
      <c r="E570" s="45"/>
      <c r="F570" s="45"/>
    </row>
    <row r="571" spans="1:6" ht="14.25" customHeight="1" x14ac:dyDescent="0.3">
      <c r="A571" s="48"/>
      <c r="B571" s="45"/>
      <c r="C571" s="45"/>
      <c r="D571" s="45"/>
      <c r="E571" s="45"/>
      <c r="F571" s="45"/>
    </row>
    <row r="572" spans="1:6" ht="14.25" customHeight="1" x14ac:dyDescent="0.3">
      <c r="A572" s="48"/>
      <c r="B572" s="45"/>
      <c r="C572" s="45"/>
      <c r="D572" s="45"/>
      <c r="E572" s="45"/>
      <c r="F572" s="45"/>
    </row>
    <row r="573" spans="1:6" ht="14.25" customHeight="1" x14ac:dyDescent="0.3">
      <c r="A573" s="48"/>
      <c r="B573" s="45"/>
      <c r="C573" s="45"/>
      <c r="D573" s="45"/>
      <c r="E573" s="45"/>
      <c r="F573" s="45"/>
    </row>
    <row r="574" spans="1:6" ht="14.25" customHeight="1" x14ac:dyDescent="0.3">
      <c r="A574" s="48"/>
      <c r="B574" s="45"/>
      <c r="C574" s="45"/>
      <c r="D574" s="45"/>
      <c r="E574" s="45"/>
      <c r="F574" s="45"/>
    </row>
    <row r="575" spans="1:6" ht="14.25" customHeight="1" x14ac:dyDescent="0.3">
      <c r="A575" s="48"/>
      <c r="B575" s="45"/>
      <c r="C575" s="45"/>
      <c r="D575" s="45"/>
      <c r="E575" s="45"/>
      <c r="F575" s="45"/>
    </row>
    <row r="576" spans="1:6" ht="14.25" customHeight="1" x14ac:dyDescent="0.3">
      <c r="A576" s="48"/>
      <c r="B576" s="45"/>
      <c r="C576" s="45"/>
      <c r="D576" s="45"/>
      <c r="E576" s="45"/>
      <c r="F576" s="45"/>
    </row>
    <row r="577" spans="1:6" ht="14.25" customHeight="1" x14ac:dyDescent="0.3">
      <c r="A577" s="48"/>
      <c r="B577" s="45"/>
      <c r="C577" s="45"/>
      <c r="D577" s="45"/>
      <c r="E577" s="45"/>
      <c r="F577" s="45"/>
    </row>
    <row r="578" spans="1:6" ht="14.25" customHeight="1" x14ac:dyDescent="0.3">
      <c r="A578" s="48"/>
      <c r="B578" s="45"/>
      <c r="C578" s="45"/>
      <c r="D578" s="45"/>
      <c r="E578" s="45"/>
      <c r="F578" s="45"/>
    </row>
    <row r="579" spans="1:6" ht="14.25" customHeight="1" x14ac:dyDescent="0.3">
      <c r="A579" s="48"/>
      <c r="B579" s="45"/>
      <c r="C579" s="45"/>
      <c r="D579" s="45"/>
      <c r="E579" s="45"/>
      <c r="F579" s="45"/>
    </row>
    <row r="580" spans="1:6" ht="14.25" customHeight="1" x14ac:dyDescent="0.3">
      <c r="A580" s="48"/>
      <c r="B580" s="45"/>
      <c r="C580" s="45"/>
      <c r="D580" s="45"/>
      <c r="E580" s="45"/>
      <c r="F580" s="45"/>
    </row>
    <row r="581" spans="1:6" ht="14.25" customHeight="1" x14ac:dyDescent="0.3">
      <c r="A581" s="48"/>
      <c r="B581" s="45"/>
      <c r="C581" s="45"/>
      <c r="D581" s="45"/>
      <c r="E581" s="45"/>
      <c r="F581" s="45"/>
    </row>
    <row r="582" spans="1:6" ht="14.25" customHeight="1" x14ac:dyDescent="0.3">
      <c r="A582" s="48"/>
      <c r="B582" s="45"/>
      <c r="C582" s="45"/>
      <c r="D582" s="45"/>
      <c r="E582" s="45"/>
      <c r="F582" s="45"/>
    </row>
    <row r="583" spans="1:6" ht="14.25" customHeight="1" x14ac:dyDescent="0.3">
      <c r="A583" s="48"/>
      <c r="B583" s="45"/>
      <c r="C583" s="45"/>
      <c r="D583" s="45"/>
      <c r="E583" s="45"/>
      <c r="F583" s="45"/>
    </row>
    <row r="584" spans="1:6" ht="14.25" customHeight="1" x14ac:dyDescent="0.3">
      <c r="A584" s="48"/>
      <c r="B584" s="45"/>
      <c r="C584" s="45"/>
      <c r="D584" s="45"/>
      <c r="E584" s="45"/>
      <c r="F584" s="45"/>
    </row>
    <row r="585" spans="1:6" ht="14.25" customHeight="1" x14ac:dyDescent="0.3">
      <c r="A585" s="48"/>
      <c r="B585" s="45"/>
      <c r="C585" s="45"/>
      <c r="D585" s="45"/>
      <c r="E585" s="45"/>
      <c r="F585" s="45"/>
    </row>
    <row r="586" spans="1:6" ht="14.25" customHeight="1" x14ac:dyDescent="0.3">
      <c r="A586" s="48"/>
      <c r="B586" s="45"/>
      <c r="C586" s="45"/>
      <c r="D586" s="45"/>
      <c r="E586" s="45"/>
      <c r="F586" s="45"/>
    </row>
    <row r="587" spans="1:6" ht="14.25" customHeight="1" x14ac:dyDescent="0.3">
      <c r="A587" s="48"/>
      <c r="B587" s="45"/>
      <c r="C587" s="45"/>
      <c r="D587" s="45"/>
      <c r="E587" s="45"/>
      <c r="F587" s="45"/>
    </row>
    <row r="588" spans="1:6" ht="14.25" customHeight="1" x14ac:dyDescent="0.3">
      <c r="A588" s="48"/>
      <c r="B588" s="45"/>
      <c r="C588" s="45"/>
      <c r="D588" s="45"/>
      <c r="E588" s="45"/>
      <c r="F588" s="45"/>
    </row>
    <row r="589" spans="1:6" ht="14.25" customHeight="1" x14ac:dyDescent="0.3">
      <c r="A589" s="48"/>
      <c r="B589" s="45"/>
      <c r="C589" s="45"/>
      <c r="D589" s="45"/>
      <c r="E589" s="45"/>
      <c r="F589" s="45"/>
    </row>
    <row r="590" spans="1:6" ht="14.25" customHeight="1" x14ac:dyDescent="0.3">
      <c r="A590" s="48"/>
      <c r="B590" s="45"/>
      <c r="C590" s="45"/>
      <c r="D590" s="45"/>
      <c r="E590" s="45"/>
      <c r="F590" s="45"/>
    </row>
    <row r="591" spans="1:6" ht="14.25" customHeight="1" x14ac:dyDescent="0.3">
      <c r="A591" s="48"/>
      <c r="B591" s="45"/>
      <c r="C591" s="45"/>
      <c r="D591" s="45"/>
      <c r="E591" s="45"/>
      <c r="F591" s="45"/>
    </row>
    <row r="592" spans="1:6" ht="14.25" customHeight="1" x14ac:dyDescent="0.3">
      <c r="A592" s="48"/>
      <c r="B592" s="45"/>
      <c r="C592" s="45"/>
      <c r="D592" s="45"/>
      <c r="E592" s="45"/>
      <c r="F592" s="45"/>
    </row>
    <row r="593" spans="1:6" ht="14.25" customHeight="1" x14ac:dyDescent="0.3">
      <c r="A593" s="48"/>
      <c r="B593" s="45"/>
      <c r="C593" s="45"/>
      <c r="D593" s="45"/>
      <c r="E593" s="45"/>
      <c r="F593" s="45"/>
    </row>
    <row r="594" spans="1:6" ht="14.25" customHeight="1" x14ac:dyDescent="0.3">
      <c r="A594" s="48"/>
      <c r="B594" s="45"/>
      <c r="C594" s="45"/>
      <c r="D594" s="45"/>
      <c r="E594" s="45"/>
      <c r="F594" s="45"/>
    </row>
    <row r="595" spans="1:6" ht="14.25" customHeight="1" x14ac:dyDescent="0.3">
      <c r="A595" s="48"/>
      <c r="B595" s="45"/>
      <c r="C595" s="45"/>
      <c r="D595" s="45"/>
      <c r="E595" s="45"/>
      <c r="F595" s="45"/>
    </row>
    <row r="596" spans="1:6" ht="14.25" customHeight="1" x14ac:dyDescent="0.3">
      <c r="A596" s="48"/>
      <c r="B596" s="45"/>
      <c r="C596" s="45"/>
      <c r="D596" s="45"/>
      <c r="E596" s="45"/>
      <c r="F596" s="45"/>
    </row>
    <row r="597" spans="1:6" ht="14.25" customHeight="1" x14ac:dyDescent="0.3">
      <c r="A597" s="48"/>
      <c r="B597" s="45"/>
      <c r="C597" s="45"/>
      <c r="D597" s="45"/>
      <c r="E597" s="45"/>
      <c r="F597" s="45"/>
    </row>
    <row r="598" spans="1:6" ht="14.25" customHeight="1" x14ac:dyDescent="0.3">
      <c r="A598" s="48"/>
      <c r="B598" s="45"/>
      <c r="C598" s="45"/>
      <c r="D598" s="45"/>
      <c r="E598" s="45"/>
      <c r="F598" s="45"/>
    </row>
    <row r="599" spans="1:6" ht="14.25" customHeight="1" x14ac:dyDescent="0.3">
      <c r="A599" s="48"/>
      <c r="B599" s="45"/>
      <c r="C599" s="45"/>
      <c r="D599" s="45"/>
      <c r="E599" s="45"/>
      <c r="F599" s="45"/>
    </row>
    <row r="600" spans="1:6" ht="14.25" customHeight="1" x14ac:dyDescent="0.3">
      <c r="A600" s="48"/>
      <c r="B600" s="45"/>
      <c r="C600" s="45"/>
      <c r="D600" s="45"/>
      <c r="E600" s="45"/>
      <c r="F600" s="45"/>
    </row>
    <row r="601" spans="1:6" ht="14.25" customHeight="1" x14ac:dyDescent="0.3">
      <c r="A601" s="48"/>
      <c r="B601" s="45"/>
      <c r="C601" s="45"/>
      <c r="D601" s="45"/>
      <c r="E601" s="45"/>
      <c r="F601" s="45"/>
    </row>
    <row r="602" spans="1:6" ht="14.25" customHeight="1" x14ac:dyDescent="0.3">
      <c r="A602" s="48"/>
      <c r="B602" s="45"/>
      <c r="C602" s="45"/>
      <c r="D602" s="45"/>
      <c r="E602" s="45"/>
      <c r="F602" s="45"/>
    </row>
    <row r="603" spans="1:6" ht="14.25" customHeight="1" x14ac:dyDescent="0.3">
      <c r="A603" s="48"/>
      <c r="B603" s="45"/>
      <c r="C603" s="45"/>
      <c r="D603" s="45"/>
      <c r="E603" s="45"/>
      <c r="F603" s="45"/>
    </row>
    <row r="604" spans="1:6" ht="14.25" customHeight="1" x14ac:dyDescent="0.3">
      <c r="A604" s="48"/>
      <c r="B604" s="45"/>
      <c r="C604" s="45"/>
      <c r="D604" s="45"/>
      <c r="E604" s="45"/>
      <c r="F604" s="45"/>
    </row>
    <row r="605" spans="1:6" ht="14.25" customHeight="1" x14ac:dyDescent="0.3">
      <c r="A605" s="48"/>
      <c r="B605" s="45"/>
      <c r="C605" s="45"/>
      <c r="D605" s="45"/>
      <c r="E605" s="45"/>
      <c r="F605" s="45"/>
    </row>
    <row r="606" spans="1:6" ht="14.25" customHeight="1" x14ac:dyDescent="0.3">
      <c r="A606" s="48"/>
      <c r="B606" s="45"/>
      <c r="C606" s="45"/>
      <c r="D606" s="45"/>
      <c r="E606" s="45"/>
      <c r="F606" s="45"/>
    </row>
    <row r="607" spans="1:6" ht="14.25" customHeight="1" x14ac:dyDescent="0.3">
      <c r="A607" s="48"/>
      <c r="B607" s="45"/>
      <c r="C607" s="45"/>
      <c r="D607" s="45"/>
      <c r="E607" s="45"/>
      <c r="F607" s="45"/>
    </row>
    <row r="608" spans="1:6" ht="14.25" customHeight="1" x14ac:dyDescent="0.3">
      <c r="A608" s="48"/>
      <c r="B608" s="45"/>
      <c r="C608" s="45"/>
      <c r="D608" s="45"/>
      <c r="E608" s="45"/>
      <c r="F608" s="45"/>
    </row>
    <row r="609" spans="1:6" ht="14.25" customHeight="1" x14ac:dyDescent="0.3">
      <c r="A609" s="48"/>
      <c r="B609" s="45"/>
      <c r="C609" s="45"/>
      <c r="D609" s="45"/>
      <c r="E609" s="45"/>
      <c r="F609" s="45"/>
    </row>
    <row r="610" spans="1:6" ht="14.25" customHeight="1" x14ac:dyDescent="0.3">
      <c r="A610" s="48"/>
      <c r="B610" s="45"/>
      <c r="C610" s="45"/>
      <c r="D610" s="45"/>
      <c r="E610" s="45"/>
      <c r="F610" s="45"/>
    </row>
    <row r="611" spans="1:6" ht="14.25" customHeight="1" x14ac:dyDescent="0.3">
      <c r="A611" s="48"/>
      <c r="B611" s="45"/>
      <c r="C611" s="45"/>
      <c r="D611" s="45"/>
      <c r="E611" s="45"/>
      <c r="F611" s="45"/>
    </row>
    <row r="612" spans="1:6" ht="14.25" customHeight="1" x14ac:dyDescent="0.3">
      <c r="A612" s="48"/>
      <c r="B612" s="45"/>
      <c r="C612" s="45"/>
      <c r="D612" s="45"/>
      <c r="E612" s="45"/>
      <c r="F612" s="45"/>
    </row>
    <row r="613" spans="1:6" ht="14.25" customHeight="1" x14ac:dyDescent="0.3">
      <c r="A613" s="48"/>
      <c r="B613" s="45"/>
      <c r="C613" s="45"/>
      <c r="D613" s="45"/>
      <c r="E613" s="45"/>
      <c r="F613" s="45"/>
    </row>
    <row r="614" spans="1:6" ht="14.25" customHeight="1" x14ac:dyDescent="0.3">
      <c r="A614" s="48"/>
      <c r="B614" s="45"/>
      <c r="C614" s="45"/>
      <c r="D614" s="45"/>
      <c r="E614" s="45"/>
      <c r="F614" s="45"/>
    </row>
    <row r="615" spans="1:6" ht="14.25" customHeight="1" x14ac:dyDescent="0.3">
      <c r="A615" s="48"/>
      <c r="B615" s="45"/>
      <c r="C615" s="45"/>
      <c r="D615" s="45"/>
      <c r="E615" s="45"/>
      <c r="F615" s="45"/>
    </row>
    <row r="616" spans="1:6" ht="14.25" customHeight="1" x14ac:dyDescent="0.3">
      <c r="A616" s="48"/>
      <c r="B616" s="45"/>
      <c r="C616" s="45"/>
      <c r="D616" s="45"/>
      <c r="E616" s="45"/>
      <c r="F616" s="45"/>
    </row>
    <row r="617" spans="1:6" ht="14.25" customHeight="1" x14ac:dyDescent="0.3">
      <c r="A617" s="48"/>
      <c r="B617" s="45"/>
      <c r="C617" s="45"/>
      <c r="D617" s="45"/>
      <c r="E617" s="45"/>
      <c r="F617" s="45"/>
    </row>
    <row r="618" spans="1:6" ht="14.25" customHeight="1" x14ac:dyDescent="0.3">
      <c r="A618" s="48"/>
      <c r="B618" s="45"/>
      <c r="C618" s="45"/>
      <c r="D618" s="45"/>
      <c r="E618" s="45"/>
      <c r="F618" s="45"/>
    </row>
    <row r="619" spans="1:6" ht="14.25" customHeight="1" x14ac:dyDescent="0.3">
      <c r="A619" s="48"/>
      <c r="B619" s="45"/>
      <c r="C619" s="45"/>
      <c r="D619" s="45"/>
      <c r="E619" s="45"/>
      <c r="F619" s="45"/>
    </row>
    <row r="620" spans="1:6" ht="14.25" customHeight="1" x14ac:dyDescent="0.3">
      <c r="A620" s="48"/>
      <c r="B620" s="45"/>
      <c r="C620" s="45"/>
      <c r="D620" s="45"/>
      <c r="E620" s="45"/>
      <c r="F620" s="45"/>
    </row>
    <row r="621" spans="1:6" ht="14.25" customHeight="1" x14ac:dyDescent="0.3">
      <c r="A621" s="48"/>
      <c r="B621" s="45"/>
      <c r="C621" s="45"/>
      <c r="D621" s="45"/>
      <c r="E621" s="45"/>
      <c r="F621" s="45"/>
    </row>
    <row r="622" spans="1:6" ht="14.25" customHeight="1" x14ac:dyDescent="0.3">
      <c r="A622" s="48"/>
      <c r="B622" s="45"/>
      <c r="C622" s="45"/>
      <c r="D622" s="45"/>
      <c r="E622" s="45"/>
      <c r="F622" s="45"/>
    </row>
    <row r="623" spans="1:6" ht="14.25" customHeight="1" x14ac:dyDescent="0.3">
      <c r="A623" s="48"/>
      <c r="B623" s="45"/>
      <c r="C623" s="45"/>
      <c r="D623" s="45"/>
      <c r="E623" s="45"/>
      <c r="F623" s="45"/>
    </row>
    <row r="624" spans="1:6" ht="14.25" customHeight="1" x14ac:dyDescent="0.3">
      <c r="A624" s="48"/>
      <c r="B624" s="45"/>
      <c r="C624" s="45"/>
      <c r="D624" s="45"/>
      <c r="E624" s="45"/>
      <c r="F624" s="45"/>
    </row>
    <row r="625" spans="1:6" ht="14.25" customHeight="1" x14ac:dyDescent="0.3">
      <c r="A625" s="48"/>
      <c r="B625" s="45"/>
      <c r="C625" s="45"/>
      <c r="D625" s="45"/>
      <c r="E625" s="45"/>
      <c r="F625" s="45"/>
    </row>
    <row r="626" spans="1:6" ht="14.25" customHeight="1" x14ac:dyDescent="0.3">
      <c r="A626" s="48"/>
      <c r="B626" s="45"/>
      <c r="C626" s="45"/>
      <c r="D626" s="45"/>
      <c r="E626" s="45"/>
      <c r="F626" s="45"/>
    </row>
    <row r="627" spans="1:6" ht="14.25" customHeight="1" x14ac:dyDescent="0.3">
      <c r="A627" s="48"/>
      <c r="B627" s="45"/>
      <c r="C627" s="45"/>
      <c r="D627" s="45"/>
      <c r="E627" s="45"/>
      <c r="F627" s="45"/>
    </row>
    <row r="628" spans="1:6" ht="14.25" customHeight="1" x14ac:dyDescent="0.3">
      <c r="A628" s="48"/>
      <c r="B628" s="45"/>
      <c r="C628" s="45"/>
      <c r="D628" s="45"/>
      <c r="E628" s="45"/>
      <c r="F628" s="45"/>
    </row>
    <row r="629" spans="1:6" ht="14.25" customHeight="1" x14ac:dyDescent="0.3">
      <c r="A629" s="48"/>
      <c r="B629" s="45"/>
      <c r="C629" s="45"/>
      <c r="D629" s="45"/>
      <c r="E629" s="45"/>
      <c r="F629" s="45"/>
    </row>
    <row r="630" spans="1:6" ht="14.25" customHeight="1" x14ac:dyDescent="0.3">
      <c r="A630" s="48"/>
      <c r="B630" s="45"/>
      <c r="C630" s="45"/>
      <c r="D630" s="45"/>
      <c r="E630" s="45"/>
      <c r="F630" s="45"/>
    </row>
    <row r="631" spans="1:6" ht="14.25" customHeight="1" x14ac:dyDescent="0.3">
      <c r="A631" s="48"/>
      <c r="B631" s="45"/>
      <c r="C631" s="45"/>
      <c r="D631" s="45"/>
      <c r="E631" s="45"/>
      <c r="F631" s="45"/>
    </row>
    <row r="632" spans="1:6" ht="14.25" customHeight="1" x14ac:dyDescent="0.3">
      <c r="A632" s="48"/>
      <c r="B632" s="45"/>
      <c r="C632" s="45"/>
      <c r="D632" s="45"/>
      <c r="E632" s="45"/>
      <c r="F632" s="45"/>
    </row>
    <row r="633" spans="1:6" ht="14.25" customHeight="1" x14ac:dyDescent="0.3">
      <c r="A633" s="48"/>
      <c r="B633" s="45"/>
      <c r="C633" s="45"/>
      <c r="D633" s="45"/>
      <c r="E633" s="45"/>
      <c r="F633" s="45"/>
    </row>
    <row r="634" spans="1:6" ht="14.25" customHeight="1" x14ac:dyDescent="0.3">
      <c r="A634" s="48"/>
      <c r="B634" s="45"/>
      <c r="C634" s="45"/>
      <c r="D634" s="45"/>
      <c r="E634" s="45"/>
      <c r="F634" s="45"/>
    </row>
    <row r="635" spans="1:6" ht="14.25" customHeight="1" x14ac:dyDescent="0.3">
      <c r="A635" s="48"/>
      <c r="B635" s="45"/>
      <c r="C635" s="45"/>
      <c r="D635" s="45"/>
      <c r="E635" s="45"/>
      <c r="F635" s="45"/>
    </row>
    <row r="636" spans="1:6" ht="14.25" customHeight="1" x14ac:dyDescent="0.3">
      <c r="A636" s="48"/>
      <c r="B636" s="45"/>
      <c r="C636" s="45"/>
      <c r="D636" s="45"/>
      <c r="E636" s="45"/>
      <c r="F636" s="45"/>
    </row>
    <row r="637" spans="1:6" ht="14.25" customHeight="1" x14ac:dyDescent="0.3">
      <c r="A637" s="48"/>
      <c r="B637" s="45"/>
      <c r="C637" s="45"/>
      <c r="D637" s="45"/>
      <c r="E637" s="45"/>
      <c r="F637" s="45"/>
    </row>
    <row r="638" spans="1:6" ht="14.25" customHeight="1" x14ac:dyDescent="0.3">
      <c r="A638" s="48"/>
      <c r="B638" s="45"/>
      <c r="C638" s="45"/>
      <c r="D638" s="45"/>
      <c r="E638" s="45"/>
      <c r="F638" s="45"/>
    </row>
    <row r="639" spans="1:6" ht="14.25" customHeight="1" x14ac:dyDescent="0.3">
      <c r="A639" s="48"/>
      <c r="B639" s="45"/>
      <c r="C639" s="45"/>
      <c r="D639" s="45"/>
      <c r="E639" s="45"/>
      <c r="F639" s="45"/>
    </row>
    <row r="640" spans="1:6" ht="14.25" customHeight="1" x14ac:dyDescent="0.3">
      <c r="A640" s="48"/>
      <c r="B640" s="45"/>
      <c r="C640" s="45"/>
      <c r="D640" s="45"/>
      <c r="E640" s="45"/>
      <c r="F640" s="45"/>
    </row>
    <row r="641" spans="1:6" ht="14.25" customHeight="1" x14ac:dyDescent="0.3">
      <c r="A641" s="48"/>
      <c r="B641" s="45"/>
      <c r="C641" s="45"/>
      <c r="D641" s="45"/>
      <c r="E641" s="45"/>
      <c r="F641" s="45"/>
    </row>
    <row r="642" spans="1:6" ht="14.25" customHeight="1" x14ac:dyDescent="0.3">
      <c r="A642" s="48"/>
      <c r="B642" s="45"/>
      <c r="C642" s="45"/>
      <c r="D642" s="45"/>
      <c r="E642" s="45"/>
      <c r="F642" s="45"/>
    </row>
    <row r="643" spans="1:6" ht="14.25" customHeight="1" x14ac:dyDescent="0.3">
      <c r="A643" s="48"/>
      <c r="B643" s="45"/>
      <c r="C643" s="45"/>
      <c r="D643" s="45"/>
      <c r="E643" s="45"/>
      <c r="F643" s="45"/>
    </row>
    <row r="644" spans="1:6" ht="14.25" customHeight="1" x14ac:dyDescent="0.3">
      <c r="A644" s="48"/>
      <c r="B644" s="45"/>
      <c r="C644" s="45"/>
      <c r="D644" s="45"/>
      <c r="E644" s="45"/>
      <c r="F644" s="45"/>
    </row>
    <row r="645" spans="1:6" ht="14.25" customHeight="1" x14ac:dyDescent="0.3">
      <c r="A645" s="48"/>
      <c r="B645" s="45"/>
      <c r="C645" s="45"/>
      <c r="D645" s="45"/>
      <c r="E645" s="45"/>
      <c r="F645" s="45"/>
    </row>
    <row r="646" spans="1:6" ht="14.25" customHeight="1" x14ac:dyDescent="0.3">
      <c r="A646" s="48"/>
      <c r="B646" s="45"/>
      <c r="C646" s="45"/>
      <c r="D646" s="45"/>
      <c r="E646" s="45"/>
      <c r="F646" s="45"/>
    </row>
    <row r="647" spans="1:6" ht="14.25" customHeight="1" x14ac:dyDescent="0.3">
      <c r="A647" s="48"/>
      <c r="B647" s="45"/>
      <c r="C647" s="45"/>
      <c r="D647" s="45"/>
      <c r="E647" s="45"/>
      <c r="F647" s="45"/>
    </row>
    <row r="648" spans="1:6" ht="14.25" customHeight="1" x14ac:dyDescent="0.3">
      <c r="A648" s="48"/>
      <c r="B648" s="45"/>
      <c r="C648" s="45"/>
      <c r="D648" s="45"/>
      <c r="E648" s="45"/>
      <c r="F648" s="45"/>
    </row>
    <row r="649" spans="1:6" ht="14.25" customHeight="1" x14ac:dyDescent="0.3">
      <c r="A649" s="48"/>
      <c r="B649" s="45"/>
      <c r="C649" s="45"/>
      <c r="D649" s="45"/>
      <c r="E649" s="45"/>
      <c r="F649" s="45"/>
    </row>
    <row r="650" spans="1:6" ht="14.25" customHeight="1" x14ac:dyDescent="0.3">
      <c r="A650" s="48"/>
      <c r="B650" s="45"/>
      <c r="C650" s="45"/>
      <c r="D650" s="45"/>
      <c r="E650" s="45"/>
      <c r="F650" s="45"/>
    </row>
    <row r="651" spans="1:6" ht="14.25" customHeight="1" x14ac:dyDescent="0.3">
      <c r="A651" s="48"/>
      <c r="B651" s="45"/>
      <c r="C651" s="45"/>
      <c r="D651" s="45"/>
      <c r="E651" s="45"/>
      <c r="F651" s="45"/>
    </row>
    <row r="652" spans="1:6" ht="14.25" customHeight="1" x14ac:dyDescent="0.3">
      <c r="A652" s="48"/>
      <c r="B652" s="45"/>
      <c r="C652" s="45"/>
      <c r="D652" s="45"/>
      <c r="E652" s="45"/>
      <c r="F652" s="45"/>
    </row>
    <row r="653" spans="1:6" ht="14.25" customHeight="1" x14ac:dyDescent="0.3">
      <c r="A653" s="48"/>
      <c r="B653" s="45"/>
      <c r="C653" s="45"/>
      <c r="D653" s="45"/>
      <c r="E653" s="45"/>
      <c r="F653" s="45"/>
    </row>
    <row r="654" spans="1:6" ht="14.25" customHeight="1" x14ac:dyDescent="0.3">
      <c r="A654" s="48"/>
      <c r="B654" s="45"/>
      <c r="C654" s="45"/>
      <c r="D654" s="45"/>
      <c r="E654" s="45"/>
      <c r="F654" s="45"/>
    </row>
    <row r="655" spans="1:6" ht="14.25" customHeight="1" x14ac:dyDescent="0.3">
      <c r="A655" s="48"/>
      <c r="B655" s="45"/>
      <c r="C655" s="45"/>
      <c r="D655" s="45"/>
      <c r="E655" s="45"/>
      <c r="F655" s="45"/>
    </row>
    <row r="656" spans="1:6" ht="14.25" customHeight="1" x14ac:dyDescent="0.3">
      <c r="A656" s="48"/>
      <c r="B656" s="45"/>
      <c r="C656" s="45"/>
      <c r="D656" s="45"/>
      <c r="E656" s="45"/>
      <c r="F656" s="45"/>
    </row>
    <row r="657" spans="1:6" ht="14.25" customHeight="1" x14ac:dyDescent="0.3">
      <c r="A657" s="48"/>
      <c r="B657" s="45"/>
      <c r="C657" s="45"/>
      <c r="D657" s="45"/>
      <c r="E657" s="45"/>
      <c r="F657" s="45"/>
    </row>
    <row r="658" spans="1:6" ht="14.25" customHeight="1" x14ac:dyDescent="0.3">
      <c r="A658" s="48"/>
      <c r="B658" s="45"/>
      <c r="C658" s="45"/>
      <c r="D658" s="45"/>
      <c r="E658" s="45"/>
      <c r="F658" s="45"/>
    </row>
    <row r="659" spans="1:6" ht="14.25" customHeight="1" x14ac:dyDescent="0.3">
      <c r="A659" s="48"/>
      <c r="B659" s="45"/>
      <c r="C659" s="45"/>
      <c r="D659" s="45"/>
      <c r="E659" s="45"/>
      <c r="F659" s="45"/>
    </row>
    <row r="660" spans="1:6" ht="14.25" customHeight="1" x14ac:dyDescent="0.3">
      <c r="A660" s="48"/>
      <c r="B660" s="45"/>
      <c r="C660" s="45"/>
      <c r="D660" s="45"/>
      <c r="E660" s="45"/>
      <c r="F660" s="45"/>
    </row>
    <row r="661" spans="1:6" ht="14.25" customHeight="1" x14ac:dyDescent="0.3">
      <c r="A661" s="48"/>
      <c r="B661" s="45"/>
      <c r="C661" s="45"/>
      <c r="D661" s="45"/>
      <c r="E661" s="45"/>
      <c r="F661" s="45"/>
    </row>
    <row r="662" spans="1:6" ht="14.25" customHeight="1" x14ac:dyDescent="0.3">
      <c r="A662" s="48"/>
      <c r="B662" s="45"/>
      <c r="C662" s="45"/>
      <c r="D662" s="45"/>
      <c r="E662" s="45"/>
      <c r="F662" s="45"/>
    </row>
    <row r="663" spans="1:6" ht="14.25" customHeight="1" x14ac:dyDescent="0.3">
      <c r="A663" s="48"/>
      <c r="B663" s="45"/>
      <c r="C663" s="45"/>
      <c r="D663" s="45"/>
      <c r="E663" s="45"/>
      <c r="F663" s="45"/>
    </row>
    <row r="664" spans="1:6" ht="14.25" customHeight="1" x14ac:dyDescent="0.3">
      <c r="A664" s="48"/>
      <c r="B664" s="45"/>
      <c r="C664" s="45"/>
      <c r="D664" s="45"/>
      <c r="E664" s="45"/>
      <c r="F664" s="45"/>
    </row>
    <row r="665" spans="1:6" ht="14.25" customHeight="1" x14ac:dyDescent="0.3">
      <c r="A665" s="48"/>
      <c r="B665" s="45"/>
      <c r="C665" s="45"/>
      <c r="D665" s="45"/>
      <c r="E665" s="45"/>
      <c r="F665" s="45"/>
    </row>
    <row r="666" spans="1:6" ht="14.25" customHeight="1" x14ac:dyDescent="0.3">
      <c r="A666" s="48"/>
      <c r="B666" s="45"/>
      <c r="C666" s="45"/>
      <c r="D666" s="45"/>
      <c r="E666" s="45"/>
      <c r="F666" s="45"/>
    </row>
    <row r="667" spans="1:6" ht="14.25" customHeight="1" x14ac:dyDescent="0.3">
      <c r="A667" s="48"/>
      <c r="B667" s="45"/>
      <c r="C667" s="45"/>
      <c r="D667" s="45"/>
      <c r="E667" s="45"/>
      <c r="F667" s="45"/>
    </row>
    <row r="668" spans="1:6" ht="14.25" customHeight="1" x14ac:dyDescent="0.3">
      <c r="A668" s="48"/>
      <c r="B668" s="45"/>
      <c r="C668" s="45"/>
      <c r="D668" s="45"/>
      <c r="E668" s="45"/>
      <c r="F668" s="45"/>
    </row>
    <row r="669" spans="1:6" ht="14.25" customHeight="1" x14ac:dyDescent="0.3">
      <c r="A669" s="48"/>
      <c r="B669" s="45"/>
      <c r="C669" s="45"/>
      <c r="D669" s="45"/>
      <c r="E669" s="45"/>
      <c r="F669" s="45"/>
    </row>
    <row r="670" spans="1:6" ht="14.25" customHeight="1" x14ac:dyDescent="0.3">
      <c r="A670" s="48"/>
      <c r="B670" s="45"/>
      <c r="C670" s="45"/>
      <c r="D670" s="45"/>
      <c r="E670" s="45"/>
      <c r="F670" s="45"/>
    </row>
    <row r="671" spans="1:6" ht="14.25" customHeight="1" x14ac:dyDescent="0.3">
      <c r="A671" s="48"/>
      <c r="B671" s="45"/>
      <c r="C671" s="45"/>
      <c r="D671" s="45"/>
      <c r="E671" s="45"/>
      <c r="F671" s="45"/>
    </row>
    <row r="672" spans="1:6" ht="14.25" customHeight="1" x14ac:dyDescent="0.3">
      <c r="A672" s="48"/>
      <c r="B672" s="45"/>
      <c r="C672" s="45"/>
      <c r="D672" s="45"/>
      <c r="E672" s="45"/>
      <c r="F672" s="45"/>
    </row>
    <row r="673" spans="1:6" ht="14.25" customHeight="1" x14ac:dyDescent="0.3">
      <c r="A673" s="48"/>
      <c r="B673" s="45"/>
      <c r="C673" s="45"/>
      <c r="D673" s="45"/>
      <c r="E673" s="45"/>
      <c r="F673" s="45"/>
    </row>
    <row r="674" spans="1:6" ht="14.25" customHeight="1" x14ac:dyDescent="0.3">
      <c r="A674" s="48"/>
      <c r="B674" s="45"/>
      <c r="C674" s="45"/>
      <c r="D674" s="45"/>
      <c r="E674" s="45"/>
      <c r="F674" s="45"/>
    </row>
    <row r="675" spans="1:6" ht="14.25" customHeight="1" x14ac:dyDescent="0.3">
      <c r="A675" s="48"/>
      <c r="B675" s="45"/>
      <c r="C675" s="45"/>
      <c r="D675" s="45"/>
      <c r="E675" s="45"/>
      <c r="F675" s="45"/>
    </row>
    <row r="676" spans="1:6" ht="14.25" customHeight="1" x14ac:dyDescent="0.3">
      <c r="A676" s="48"/>
      <c r="B676" s="45"/>
      <c r="C676" s="45"/>
      <c r="D676" s="45"/>
      <c r="E676" s="45"/>
      <c r="F676" s="45"/>
    </row>
    <row r="677" spans="1:6" ht="14.25" customHeight="1" x14ac:dyDescent="0.3">
      <c r="A677" s="48"/>
      <c r="B677" s="45"/>
      <c r="C677" s="45"/>
      <c r="D677" s="45"/>
      <c r="E677" s="45"/>
      <c r="F677" s="45"/>
    </row>
    <row r="678" spans="1:6" ht="14.25" customHeight="1" x14ac:dyDescent="0.3">
      <c r="A678" s="48"/>
      <c r="B678" s="45"/>
      <c r="C678" s="45"/>
      <c r="D678" s="45"/>
      <c r="E678" s="45"/>
      <c r="F678" s="45"/>
    </row>
    <row r="679" spans="1:6" ht="14.25" customHeight="1" x14ac:dyDescent="0.3">
      <c r="A679" s="48"/>
      <c r="B679" s="45"/>
      <c r="C679" s="45"/>
      <c r="D679" s="45"/>
      <c r="E679" s="45"/>
      <c r="F679" s="45"/>
    </row>
    <row r="680" spans="1:6" ht="14.25" customHeight="1" x14ac:dyDescent="0.3">
      <c r="A680" s="48"/>
      <c r="B680" s="45"/>
      <c r="C680" s="45"/>
      <c r="D680" s="45"/>
      <c r="E680" s="45"/>
      <c r="F680" s="45"/>
    </row>
    <row r="681" spans="1:6" ht="14.25" customHeight="1" x14ac:dyDescent="0.3">
      <c r="A681" s="48"/>
      <c r="B681" s="45"/>
      <c r="C681" s="45"/>
      <c r="D681" s="45"/>
      <c r="E681" s="45"/>
      <c r="F681" s="45"/>
    </row>
    <row r="682" spans="1:6" ht="14.25" customHeight="1" x14ac:dyDescent="0.3">
      <c r="A682" s="48"/>
      <c r="B682" s="45"/>
      <c r="C682" s="45"/>
      <c r="D682" s="45"/>
      <c r="E682" s="45"/>
      <c r="F682" s="45"/>
    </row>
    <row r="683" spans="1:6" ht="14.25" customHeight="1" x14ac:dyDescent="0.3">
      <c r="A683" s="48"/>
      <c r="B683" s="45"/>
      <c r="C683" s="45"/>
      <c r="D683" s="45"/>
      <c r="E683" s="45"/>
      <c r="F683" s="45"/>
    </row>
    <row r="684" spans="1:6" ht="14.25" customHeight="1" x14ac:dyDescent="0.3">
      <c r="A684" s="48"/>
      <c r="B684" s="45"/>
      <c r="C684" s="45"/>
      <c r="D684" s="45"/>
      <c r="E684" s="45"/>
      <c r="F684" s="45"/>
    </row>
    <row r="685" spans="1:6" ht="14.25" customHeight="1" x14ac:dyDescent="0.3">
      <c r="A685" s="48"/>
      <c r="B685" s="45"/>
      <c r="C685" s="45"/>
      <c r="D685" s="45"/>
      <c r="E685" s="45"/>
      <c r="F685" s="45"/>
    </row>
    <row r="686" spans="1:6" ht="14.25" customHeight="1" x14ac:dyDescent="0.3">
      <c r="A686" s="48"/>
      <c r="B686" s="45"/>
      <c r="C686" s="45"/>
      <c r="D686" s="45"/>
      <c r="E686" s="45"/>
      <c r="F686" s="45"/>
    </row>
    <row r="687" spans="1:6" ht="14.25" customHeight="1" x14ac:dyDescent="0.3">
      <c r="A687" s="48"/>
      <c r="B687" s="45"/>
      <c r="C687" s="45"/>
      <c r="D687" s="45"/>
      <c r="E687" s="45"/>
      <c r="F687" s="45"/>
    </row>
    <row r="688" spans="1:6" ht="14.25" customHeight="1" x14ac:dyDescent="0.3">
      <c r="A688" s="48"/>
      <c r="B688" s="45"/>
      <c r="C688" s="45"/>
      <c r="D688" s="45"/>
      <c r="E688" s="45"/>
      <c r="F688" s="45"/>
    </row>
    <row r="689" spans="1:6" ht="14.25" customHeight="1" x14ac:dyDescent="0.3">
      <c r="A689" s="48"/>
      <c r="B689" s="45"/>
      <c r="C689" s="45"/>
      <c r="D689" s="45"/>
      <c r="E689" s="45"/>
      <c r="F689" s="45"/>
    </row>
    <row r="690" spans="1:6" ht="14.25" customHeight="1" x14ac:dyDescent="0.3">
      <c r="A690" s="48"/>
      <c r="B690" s="45"/>
      <c r="C690" s="45"/>
      <c r="D690" s="45"/>
      <c r="E690" s="45"/>
      <c r="F690" s="45"/>
    </row>
    <row r="691" spans="1:6" ht="14.25" customHeight="1" x14ac:dyDescent="0.3">
      <c r="A691" s="48"/>
      <c r="B691" s="45"/>
      <c r="C691" s="45"/>
      <c r="D691" s="45"/>
      <c r="E691" s="45"/>
      <c r="F691" s="45"/>
    </row>
    <row r="692" spans="1:6" ht="14.25" customHeight="1" x14ac:dyDescent="0.3">
      <c r="A692" s="48"/>
      <c r="B692" s="45"/>
      <c r="C692" s="45"/>
      <c r="D692" s="45"/>
      <c r="E692" s="45"/>
      <c r="F692" s="45"/>
    </row>
    <row r="693" spans="1:6" ht="14.25" customHeight="1" x14ac:dyDescent="0.3">
      <c r="A693" s="48"/>
      <c r="B693" s="45"/>
      <c r="C693" s="45"/>
      <c r="D693" s="45"/>
      <c r="E693" s="45"/>
      <c r="F693" s="45"/>
    </row>
    <row r="694" spans="1:6" ht="14.25" customHeight="1" x14ac:dyDescent="0.3">
      <c r="A694" s="48"/>
      <c r="B694" s="45"/>
      <c r="C694" s="45"/>
      <c r="D694" s="45"/>
      <c r="E694" s="45"/>
      <c r="F694" s="45"/>
    </row>
    <row r="695" spans="1:6" ht="14.25" customHeight="1" x14ac:dyDescent="0.3">
      <c r="A695" s="48"/>
      <c r="B695" s="45"/>
      <c r="C695" s="45"/>
      <c r="D695" s="45"/>
      <c r="E695" s="45"/>
      <c r="F695" s="45"/>
    </row>
    <row r="696" spans="1:6" ht="14.25" customHeight="1" x14ac:dyDescent="0.3">
      <c r="A696" s="48"/>
      <c r="B696" s="45"/>
      <c r="C696" s="45"/>
      <c r="D696" s="45"/>
      <c r="E696" s="45"/>
      <c r="F696" s="45"/>
    </row>
    <row r="697" spans="1:6" ht="14.25" customHeight="1" x14ac:dyDescent="0.3">
      <c r="A697" s="48"/>
      <c r="B697" s="45"/>
      <c r="C697" s="45"/>
      <c r="D697" s="45"/>
      <c r="E697" s="45"/>
      <c r="F697" s="45"/>
    </row>
    <row r="698" spans="1:6" ht="14.25" customHeight="1" x14ac:dyDescent="0.3">
      <c r="A698" s="48"/>
      <c r="B698" s="45"/>
      <c r="C698" s="45"/>
      <c r="D698" s="45"/>
      <c r="E698" s="45"/>
      <c r="F698" s="45"/>
    </row>
    <row r="699" spans="1:6" ht="14.25" customHeight="1" x14ac:dyDescent="0.3">
      <c r="A699" s="48"/>
      <c r="B699" s="45"/>
      <c r="C699" s="45"/>
      <c r="D699" s="45"/>
      <c r="E699" s="45"/>
      <c r="F699" s="45"/>
    </row>
    <row r="700" spans="1:6" ht="14.25" customHeight="1" x14ac:dyDescent="0.3">
      <c r="A700" s="48"/>
      <c r="B700" s="45"/>
      <c r="C700" s="45"/>
      <c r="D700" s="45"/>
      <c r="E700" s="45"/>
      <c r="F700" s="45"/>
    </row>
    <row r="701" spans="1:6" ht="14.25" customHeight="1" x14ac:dyDescent="0.3">
      <c r="A701" s="48"/>
      <c r="B701" s="45"/>
      <c r="C701" s="45"/>
      <c r="D701" s="45"/>
      <c r="E701" s="45"/>
      <c r="F701" s="45"/>
    </row>
    <row r="702" spans="1:6" ht="14.25" customHeight="1" x14ac:dyDescent="0.3">
      <c r="A702" s="48"/>
      <c r="B702" s="45"/>
      <c r="C702" s="45"/>
      <c r="D702" s="45"/>
      <c r="E702" s="45"/>
      <c r="F702" s="45"/>
    </row>
    <row r="703" spans="1:6" ht="14.25" customHeight="1" x14ac:dyDescent="0.3">
      <c r="A703" s="48"/>
      <c r="B703" s="45"/>
      <c r="C703" s="45"/>
      <c r="D703" s="45"/>
      <c r="E703" s="45"/>
      <c r="F703" s="45"/>
    </row>
    <row r="704" spans="1:6" ht="14.25" customHeight="1" x14ac:dyDescent="0.3">
      <c r="A704" s="48"/>
      <c r="B704" s="45"/>
      <c r="C704" s="45"/>
      <c r="D704" s="45"/>
      <c r="E704" s="45"/>
      <c r="F704" s="45"/>
    </row>
    <row r="705" spans="1:6" ht="14.25" customHeight="1" x14ac:dyDescent="0.3">
      <c r="A705" s="48"/>
      <c r="B705" s="45"/>
      <c r="C705" s="45"/>
      <c r="D705" s="45"/>
      <c r="E705" s="45"/>
      <c r="F705" s="45"/>
    </row>
    <row r="706" spans="1:6" ht="14.25" customHeight="1" x14ac:dyDescent="0.3">
      <c r="A706" s="48"/>
      <c r="B706" s="45"/>
      <c r="C706" s="45"/>
      <c r="D706" s="45"/>
      <c r="E706" s="45"/>
      <c r="F706" s="45"/>
    </row>
    <row r="707" spans="1:6" ht="14.25" customHeight="1" x14ac:dyDescent="0.3">
      <c r="A707" s="48"/>
      <c r="B707" s="45"/>
      <c r="C707" s="45"/>
      <c r="D707" s="45"/>
      <c r="E707" s="45"/>
      <c r="F707" s="45"/>
    </row>
    <row r="708" spans="1:6" ht="14.25" customHeight="1" x14ac:dyDescent="0.3">
      <c r="A708" s="48"/>
      <c r="B708" s="45"/>
      <c r="C708" s="45"/>
      <c r="D708" s="45"/>
      <c r="E708" s="45"/>
      <c r="F708" s="45"/>
    </row>
    <row r="709" spans="1:6" ht="14.25" customHeight="1" x14ac:dyDescent="0.3">
      <c r="A709" s="48"/>
      <c r="B709" s="45"/>
      <c r="C709" s="45"/>
      <c r="D709" s="45"/>
      <c r="E709" s="45"/>
      <c r="F709" s="45"/>
    </row>
    <row r="710" spans="1:6" ht="14.25" customHeight="1" x14ac:dyDescent="0.3">
      <c r="A710" s="48"/>
      <c r="B710" s="45"/>
      <c r="C710" s="45"/>
      <c r="D710" s="45"/>
      <c r="E710" s="45"/>
      <c r="F710" s="45"/>
    </row>
    <row r="711" spans="1:6" ht="14.25" customHeight="1" x14ac:dyDescent="0.3">
      <c r="A711" s="48"/>
      <c r="B711" s="45"/>
      <c r="C711" s="45"/>
      <c r="D711" s="45"/>
      <c r="E711" s="45"/>
      <c r="F711" s="45"/>
    </row>
    <row r="712" spans="1:6" ht="14.25" customHeight="1" x14ac:dyDescent="0.3">
      <c r="A712" s="48"/>
      <c r="B712" s="45"/>
      <c r="C712" s="45"/>
      <c r="D712" s="45"/>
      <c r="E712" s="45"/>
      <c r="F712" s="45"/>
    </row>
    <row r="713" spans="1:6" ht="14.25" customHeight="1" x14ac:dyDescent="0.3">
      <c r="A713" s="48"/>
      <c r="B713" s="45"/>
      <c r="C713" s="45"/>
      <c r="D713" s="45"/>
      <c r="E713" s="45"/>
      <c r="F713" s="45"/>
    </row>
    <row r="714" spans="1:6" ht="14.25" customHeight="1" x14ac:dyDescent="0.3">
      <c r="A714" s="48"/>
      <c r="B714" s="45"/>
      <c r="C714" s="45"/>
      <c r="D714" s="45"/>
      <c r="E714" s="45"/>
      <c r="F714" s="45"/>
    </row>
    <row r="715" spans="1:6" ht="14.25" customHeight="1" x14ac:dyDescent="0.3">
      <c r="A715" s="48"/>
      <c r="B715" s="45"/>
      <c r="C715" s="45"/>
      <c r="D715" s="45"/>
      <c r="E715" s="45"/>
      <c r="F715" s="45"/>
    </row>
    <row r="716" spans="1:6" ht="14.25" customHeight="1" x14ac:dyDescent="0.3">
      <c r="A716" s="48"/>
      <c r="B716" s="45"/>
      <c r="C716" s="45"/>
      <c r="D716" s="45"/>
      <c r="E716" s="45"/>
      <c r="F716" s="45"/>
    </row>
    <row r="717" spans="1:6" ht="14.25" customHeight="1" x14ac:dyDescent="0.3">
      <c r="A717" s="48"/>
      <c r="B717" s="45"/>
      <c r="C717" s="45"/>
      <c r="D717" s="45"/>
      <c r="E717" s="45"/>
      <c r="F717" s="45"/>
    </row>
    <row r="718" spans="1:6" ht="14.25" customHeight="1" x14ac:dyDescent="0.3">
      <c r="A718" s="48"/>
      <c r="B718" s="45"/>
      <c r="C718" s="45"/>
      <c r="D718" s="45"/>
      <c r="E718" s="45"/>
      <c r="F718" s="45"/>
    </row>
    <row r="719" spans="1:6" ht="14.25" customHeight="1" x14ac:dyDescent="0.3">
      <c r="A719" s="48"/>
      <c r="B719" s="45"/>
      <c r="C719" s="45"/>
      <c r="D719" s="45"/>
      <c r="E719" s="45"/>
      <c r="F719" s="45"/>
    </row>
    <row r="720" spans="1:6" ht="14.25" customHeight="1" x14ac:dyDescent="0.3">
      <c r="A720" s="48"/>
      <c r="B720" s="45"/>
      <c r="C720" s="45"/>
      <c r="D720" s="45"/>
      <c r="E720" s="45"/>
      <c r="F720" s="45"/>
    </row>
    <row r="721" spans="1:6" ht="14.25" customHeight="1" x14ac:dyDescent="0.3">
      <c r="A721" s="48"/>
      <c r="B721" s="45"/>
      <c r="C721" s="45"/>
      <c r="D721" s="45"/>
      <c r="E721" s="45"/>
      <c r="F721" s="45"/>
    </row>
    <row r="722" spans="1:6" ht="14.25" customHeight="1" x14ac:dyDescent="0.3">
      <c r="A722" s="48"/>
      <c r="B722" s="45"/>
      <c r="C722" s="45"/>
      <c r="D722" s="45"/>
      <c r="E722" s="45"/>
      <c r="F722" s="45"/>
    </row>
    <row r="723" spans="1:6" ht="14.25" customHeight="1" x14ac:dyDescent="0.3">
      <c r="A723" s="48"/>
      <c r="B723" s="45"/>
      <c r="C723" s="45"/>
      <c r="D723" s="45"/>
      <c r="E723" s="45"/>
      <c r="F723" s="45"/>
    </row>
    <row r="724" spans="1:6" ht="14.25" customHeight="1" x14ac:dyDescent="0.3">
      <c r="A724" s="48"/>
      <c r="B724" s="45"/>
      <c r="C724" s="45"/>
      <c r="D724" s="45"/>
      <c r="E724" s="45"/>
      <c r="F724" s="45"/>
    </row>
    <row r="725" spans="1:6" ht="14.25" customHeight="1" x14ac:dyDescent="0.3">
      <c r="A725" s="48"/>
      <c r="B725" s="45"/>
      <c r="C725" s="45"/>
      <c r="D725" s="45"/>
      <c r="E725" s="45"/>
      <c r="F725" s="45"/>
    </row>
    <row r="726" spans="1:6" ht="14.25" customHeight="1" x14ac:dyDescent="0.3">
      <c r="A726" s="48"/>
      <c r="B726" s="45"/>
      <c r="C726" s="45"/>
      <c r="D726" s="45"/>
      <c r="E726" s="45"/>
      <c r="F726" s="45"/>
    </row>
    <row r="727" spans="1:6" ht="14.25" customHeight="1" x14ac:dyDescent="0.3">
      <c r="A727" s="48"/>
      <c r="B727" s="45"/>
      <c r="C727" s="45"/>
      <c r="D727" s="45"/>
      <c r="E727" s="45"/>
      <c r="F727" s="45"/>
    </row>
    <row r="728" spans="1:6" ht="14.25" customHeight="1" x14ac:dyDescent="0.3">
      <c r="A728" s="48"/>
      <c r="B728" s="45"/>
      <c r="C728" s="45"/>
      <c r="D728" s="45"/>
      <c r="E728" s="45"/>
      <c r="F728" s="45"/>
    </row>
    <row r="729" spans="1:6" ht="14.25" customHeight="1" x14ac:dyDescent="0.3">
      <c r="A729" s="48"/>
      <c r="B729" s="45"/>
      <c r="C729" s="45"/>
      <c r="D729" s="45"/>
      <c r="E729" s="45"/>
      <c r="F729" s="45"/>
    </row>
    <row r="730" spans="1:6" ht="14.25" customHeight="1" x14ac:dyDescent="0.3">
      <c r="A730" s="48"/>
      <c r="B730" s="45"/>
      <c r="C730" s="45"/>
      <c r="D730" s="45"/>
      <c r="E730" s="45"/>
      <c r="F730" s="45"/>
    </row>
    <row r="731" spans="1:6" ht="14.25" customHeight="1" x14ac:dyDescent="0.3">
      <c r="A731" s="48"/>
      <c r="B731" s="45"/>
      <c r="C731" s="45"/>
      <c r="D731" s="45"/>
      <c r="E731" s="45"/>
      <c r="F731" s="45"/>
    </row>
    <row r="732" spans="1:6" ht="14.25" customHeight="1" x14ac:dyDescent="0.3">
      <c r="A732" s="48"/>
      <c r="B732" s="45"/>
      <c r="C732" s="45"/>
      <c r="D732" s="45"/>
      <c r="E732" s="45"/>
      <c r="F732" s="45"/>
    </row>
    <row r="733" spans="1:6" ht="14.25" customHeight="1" x14ac:dyDescent="0.3">
      <c r="A733" s="48"/>
      <c r="B733" s="45"/>
      <c r="C733" s="45"/>
      <c r="D733" s="45"/>
      <c r="E733" s="45"/>
      <c r="F733" s="45"/>
    </row>
    <row r="734" spans="1:6" ht="14.25" customHeight="1" x14ac:dyDescent="0.3">
      <c r="A734" s="48"/>
      <c r="B734" s="45"/>
      <c r="C734" s="45"/>
      <c r="D734" s="45"/>
      <c r="E734" s="45"/>
      <c r="F734" s="45"/>
    </row>
    <row r="735" spans="1:6" ht="14.25" customHeight="1" x14ac:dyDescent="0.3">
      <c r="A735" s="48"/>
      <c r="B735" s="45"/>
      <c r="C735" s="45"/>
      <c r="D735" s="45"/>
      <c r="E735" s="45"/>
      <c r="F735" s="45"/>
    </row>
    <row r="736" spans="1:6" ht="14.25" customHeight="1" x14ac:dyDescent="0.3">
      <c r="A736" s="48"/>
      <c r="B736" s="45"/>
      <c r="C736" s="45"/>
      <c r="D736" s="45"/>
      <c r="E736" s="45"/>
      <c r="F736" s="45"/>
    </row>
    <row r="737" spans="1:6" ht="14.25" customHeight="1" x14ac:dyDescent="0.3">
      <c r="A737" s="48"/>
      <c r="B737" s="45"/>
      <c r="C737" s="45"/>
      <c r="D737" s="45"/>
      <c r="E737" s="45"/>
      <c r="F737" s="45"/>
    </row>
    <row r="738" spans="1:6" ht="14.25" customHeight="1" x14ac:dyDescent="0.3">
      <c r="A738" s="48"/>
      <c r="B738" s="45"/>
      <c r="C738" s="45"/>
      <c r="D738" s="45"/>
      <c r="E738" s="45"/>
      <c r="F738" s="45"/>
    </row>
    <row r="739" spans="1:6" ht="14.25" customHeight="1" x14ac:dyDescent="0.3">
      <c r="A739" s="48"/>
      <c r="B739" s="45"/>
      <c r="C739" s="45"/>
      <c r="D739" s="45"/>
      <c r="E739" s="45"/>
      <c r="F739" s="45"/>
    </row>
    <row r="740" spans="1:6" ht="14.25" customHeight="1" x14ac:dyDescent="0.3">
      <c r="A740" s="48"/>
      <c r="B740" s="45"/>
      <c r="C740" s="45"/>
      <c r="D740" s="45"/>
      <c r="E740" s="45"/>
      <c r="F740" s="45"/>
    </row>
    <row r="741" spans="1:6" ht="14.25" customHeight="1" x14ac:dyDescent="0.3">
      <c r="A741" s="48"/>
      <c r="B741" s="45"/>
      <c r="C741" s="45"/>
      <c r="D741" s="45"/>
      <c r="E741" s="45"/>
      <c r="F741" s="45"/>
    </row>
    <row r="742" spans="1:6" ht="14.25" customHeight="1" x14ac:dyDescent="0.3">
      <c r="A742" s="48"/>
      <c r="B742" s="45"/>
      <c r="C742" s="45"/>
      <c r="D742" s="45"/>
      <c r="E742" s="45"/>
      <c r="F742" s="45"/>
    </row>
    <row r="743" spans="1:6" ht="14.25" customHeight="1" x14ac:dyDescent="0.3">
      <c r="A743" s="48"/>
      <c r="B743" s="45"/>
      <c r="C743" s="45"/>
      <c r="D743" s="45"/>
      <c r="E743" s="45"/>
      <c r="F743" s="45"/>
    </row>
    <row r="744" spans="1:6" ht="14.25" customHeight="1" x14ac:dyDescent="0.3">
      <c r="A744" s="48"/>
      <c r="B744" s="45"/>
      <c r="C744" s="45"/>
      <c r="D744" s="45"/>
      <c r="E744" s="45"/>
      <c r="F744" s="45"/>
    </row>
    <row r="745" spans="1:6" ht="14.25" customHeight="1" x14ac:dyDescent="0.3">
      <c r="A745" s="48"/>
      <c r="B745" s="45"/>
      <c r="C745" s="45"/>
      <c r="D745" s="45"/>
      <c r="E745" s="45"/>
      <c r="F745" s="45"/>
    </row>
    <row r="746" spans="1:6" ht="14.25" customHeight="1" x14ac:dyDescent="0.3">
      <c r="A746" s="48"/>
      <c r="B746" s="45"/>
      <c r="C746" s="45"/>
      <c r="D746" s="45"/>
      <c r="E746" s="45"/>
      <c r="F746" s="45"/>
    </row>
    <row r="747" spans="1:6" ht="14.25" customHeight="1" x14ac:dyDescent="0.3">
      <c r="A747" s="48"/>
      <c r="B747" s="45"/>
      <c r="C747" s="45"/>
      <c r="D747" s="45"/>
      <c r="E747" s="45"/>
      <c r="F747" s="45"/>
    </row>
    <row r="748" spans="1:6" ht="14.25" customHeight="1" x14ac:dyDescent="0.3">
      <c r="A748" s="48"/>
      <c r="B748" s="45"/>
      <c r="C748" s="45"/>
      <c r="D748" s="45"/>
      <c r="E748" s="45"/>
      <c r="F748" s="45"/>
    </row>
    <row r="749" spans="1:6" ht="14.25" customHeight="1" x14ac:dyDescent="0.3">
      <c r="A749" s="48"/>
      <c r="B749" s="45"/>
      <c r="C749" s="45"/>
      <c r="D749" s="45"/>
      <c r="E749" s="45"/>
      <c r="F749" s="45"/>
    </row>
    <row r="750" spans="1:6" ht="14.25" customHeight="1" x14ac:dyDescent="0.3">
      <c r="A750" s="48"/>
      <c r="B750" s="45"/>
      <c r="C750" s="45"/>
      <c r="D750" s="45"/>
      <c r="E750" s="45"/>
      <c r="F750" s="45"/>
    </row>
    <row r="751" spans="1:6" ht="14.25" customHeight="1" x14ac:dyDescent="0.3">
      <c r="A751" s="48"/>
      <c r="B751" s="45"/>
      <c r="C751" s="45"/>
      <c r="D751" s="45"/>
      <c r="E751" s="45"/>
      <c r="F751" s="45"/>
    </row>
    <row r="752" spans="1:6" ht="14.25" customHeight="1" x14ac:dyDescent="0.3">
      <c r="A752" s="48"/>
      <c r="B752" s="45"/>
      <c r="C752" s="45"/>
      <c r="D752" s="45"/>
      <c r="E752" s="45"/>
      <c r="F752" s="45"/>
    </row>
    <row r="753" spans="1:6" ht="14.25" customHeight="1" x14ac:dyDescent="0.3">
      <c r="A753" s="48"/>
      <c r="B753" s="45"/>
      <c r="C753" s="45"/>
      <c r="D753" s="45"/>
      <c r="E753" s="45"/>
      <c r="F753" s="45"/>
    </row>
    <row r="754" spans="1:6" ht="14.25" customHeight="1" x14ac:dyDescent="0.3">
      <c r="A754" s="48"/>
      <c r="B754" s="45"/>
      <c r="C754" s="45"/>
      <c r="D754" s="45"/>
      <c r="E754" s="45"/>
      <c r="F754" s="45"/>
    </row>
    <row r="755" spans="1:6" ht="14.25" customHeight="1" x14ac:dyDescent="0.3">
      <c r="A755" s="48"/>
      <c r="B755" s="45"/>
      <c r="C755" s="45"/>
      <c r="D755" s="45"/>
      <c r="E755" s="45"/>
      <c r="F755" s="45"/>
    </row>
    <row r="756" spans="1:6" ht="14.25" customHeight="1" x14ac:dyDescent="0.3">
      <c r="A756" s="48"/>
      <c r="B756" s="45"/>
      <c r="C756" s="45"/>
      <c r="D756" s="45"/>
      <c r="E756" s="45"/>
      <c r="F756" s="45"/>
    </row>
    <row r="757" spans="1:6" ht="14.25" customHeight="1" x14ac:dyDescent="0.3">
      <c r="A757" s="48"/>
      <c r="B757" s="45"/>
      <c r="C757" s="45"/>
      <c r="D757" s="45"/>
      <c r="E757" s="45"/>
      <c r="F757" s="45"/>
    </row>
    <row r="758" spans="1:6" ht="14.25" customHeight="1" x14ac:dyDescent="0.3">
      <c r="A758" s="48"/>
      <c r="B758" s="45"/>
      <c r="C758" s="45"/>
      <c r="D758" s="45"/>
      <c r="E758" s="45"/>
      <c r="F758" s="45"/>
    </row>
    <row r="759" spans="1:6" ht="14.25" customHeight="1" x14ac:dyDescent="0.3">
      <c r="A759" s="48"/>
      <c r="B759" s="45"/>
      <c r="C759" s="45"/>
      <c r="D759" s="45"/>
      <c r="E759" s="45"/>
      <c r="F759" s="45"/>
    </row>
    <row r="760" spans="1:6" ht="14.25" customHeight="1" x14ac:dyDescent="0.3">
      <c r="A760" s="48"/>
      <c r="B760" s="45"/>
      <c r="C760" s="45"/>
      <c r="D760" s="45"/>
      <c r="E760" s="45"/>
      <c r="F760" s="45"/>
    </row>
    <row r="761" spans="1:6" ht="14.25" customHeight="1" x14ac:dyDescent="0.3">
      <c r="A761" s="48"/>
      <c r="B761" s="45"/>
      <c r="C761" s="45"/>
      <c r="D761" s="45"/>
      <c r="E761" s="45"/>
      <c r="F761" s="45"/>
    </row>
    <row r="762" spans="1:6" ht="14.25" customHeight="1" x14ac:dyDescent="0.3">
      <c r="A762" s="48"/>
      <c r="B762" s="45"/>
      <c r="C762" s="45"/>
      <c r="D762" s="45"/>
      <c r="E762" s="45"/>
      <c r="F762" s="45"/>
    </row>
    <row r="763" spans="1:6" ht="14.25" customHeight="1" x14ac:dyDescent="0.3">
      <c r="A763" s="48"/>
      <c r="B763" s="45"/>
      <c r="C763" s="45"/>
      <c r="D763" s="45"/>
      <c r="E763" s="45"/>
      <c r="F763" s="45"/>
    </row>
    <row r="764" spans="1:6" ht="14.25" customHeight="1" x14ac:dyDescent="0.3">
      <c r="A764" s="48"/>
      <c r="B764" s="45"/>
      <c r="C764" s="45"/>
      <c r="D764" s="45"/>
      <c r="E764" s="45"/>
      <c r="F764" s="45"/>
    </row>
    <row r="765" spans="1:6" ht="14.25" customHeight="1" x14ac:dyDescent="0.3">
      <c r="A765" s="48"/>
      <c r="B765" s="45"/>
      <c r="C765" s="45"/>
      <c r="D765" s="45"/>
      <c r="E765" s="45"/>
      <c r="F765" s="45"/>
    </row>
    <row r="766" spans="1:6" ht="14.25" customHeight="1" x14ac:dyDescent="0.3">
      <c r="A766" s="48"/>
      <c r="B766" s="45"/>
      <c r="C766" s="45"/>
      <c r="D766" s="45"/>
      <c r="E766" s="45"/>
      <c r="F766" s="45"/>
    </row>
    <row r="767" spans="1:6" ht="14.25" customHeight="1" x14ac:dyDescent="0.3">
      <c r="A767" s="48"/>
      <c r="B767" s="45"/>
      <c r="C767" s="45"/>
      <c r="D767" s="45"/>
      <c r="E767" s="45"/>
      <c r="F767" s="45"/>
    </row>
    <row r="768" spans="1:6" ht="14.25" customHeight="1" x14ac:dyDescent="0.3">
      <c r="A768" s="48"/>
      <c r="B768" s="45"/>
      <c r="C768" s="45"/>
      <c r="D768" s="45"/>
      <c r="E768" s="45"/>
      <c r="F768" s="45"/>
    </row>
    <row r="769" spans="1:6" ht="14.25" customHeight="1" x14ac:dyDescent="0.3">
      <c r="A769" s="48"/>
      <c r="B769" s="45"/>
      <c r="C769" s="45"/>
      <c r="D769" s="45"/>
      <c r="E769" s="45"/>
      <c r="F769" s="45"/>
    </row>
    <row r="770" spans="1:6" ht="14.25" customHeight="1" x14ac:dyDescent="0.3">
      <c r="A770" s="48"/>
      <c r="B770" s="45"/>
      <c r="C770" s="45"/>
      <c r="D770" s="45"/>
      <c r="E770" s="45"/>
      <c r="F770" s="45"/>
    </row>
    <row r="771" spans="1:6" ht="14.25" customHeight="1" x14ac:dyDescent="0.3">
      <c r="A771" s="48"/>
      <c r="B771" s="45"/>
      <c r="C771" s="45"/>
      <c r="D771" s="45"/>
      <c r="E771" s="45"/>
      <c r="F771" s="45"/>
    </row>
    <row r="772" spans="1:6" ht="14.25" customHeight="1" x14ac:dyDescent="0.3">
      <c r="A772" s="48"/>
      <c r="B772" s="45"/>
      <c r="C772" s="45"/>
      <c r="D772" s="45"/>
      <c r="E772" s="45"/>
      <c r="F772" s="45"/>
    </row>
    <row r="773" spans="1:6" ht="14.25" customHeight="1" x14ac:dyDescent="0.3">
      <c r="A773" s="48"/>
      <c r="B773" s="45"/>
      <c r="C773" s="45"/>
      <c r="D773" s="45"/>
      <c r="E773" s="45"/>
      <c r="F773" s="45"/>
    </row>
    <row r="774" spans="1:6" ht="14.25" customHeight="1" x14ac:dyDescent="0.3">
      <c r="A774" s="48"/>
      <c r="B774" s="45"/>
      <c r="C774" s="45"/>
      <c r="D774" s="45"/>
      <c r="E774" s="45"/>
      <c r="F774" s="45"/>
    </row>
    <row r="775" spans="1:6" ht="14.25" customHeight="1" x14ac:dyDescent="0.3">
      <c r="A775" s="48"/>
      <c r="B775" s="45"/>
      <c r="C775" s="45"/>
      <c r="D775" s="45"/>
      <c r="E775" s="45"/>
      <c r="F775" s="45"/>
    </row>
    <row r="776" spans="1:6" ht="14.25" customHeight="1" x14ac:dyDescent="0.3">
      <c r="A776" s="48"/>
      <c r="B776" s="45"/>
      <c r="C776" s="45"/>
      <c r="D776" s="45"/>
      <c r="E776" s="45"/>
      <c r="F776" s="45"/>
    </row>
    <row r="777" spans="1:6" ht="14.25" customHeight="1" x14ac:dyDescent="0.3">
      <c r="A777" s="48"/>
      <c r="B777" s="45"/>
      <c r="C777" s="45"/>
      <c r="D777" s="45"/>
      <c r="E777" s="45"/>
      <c r="F777" s="45"/>
    </row>
    <row r="778" spans="1:6" ht="14.25" customHeight="1" x14ac:dyDescent="0.3">
      <c r="A778" s="48"/>
      <c r="B778" s="45"/>
      <c r="C778" s="45"/>
      <c r="D778" s="45"/>
      <c r="E778" s="45"/>
      <c r="F778" s="45"/>
    </row>
    <row r="779" spans="1:6" ht="14.25" customHeight="1" x14ac:dyDescent="0.3">
      <c r="A779" s="48"/>
      <c r="B779" s="45"/>
      <c r="C779" s="45"/>
      <c r="D779" s="45"/>
      <c r="E779" s="45"/>
      <c r="F779" s="45"/>
    </row>
    <row r="780" spans="1:6" ht="14.25" customHeight="1" x14ac:dyDescent="0.3">
      <c r="A780" s="48"/>
      <c r="B780" s="45"/>
      <c r="C780" s="45"/>
      <c r="D780" s="45"/>
      <c r="E780" s="45"/>
      <c r="F780" s="45"/>
    </row>
    <row r="781" spans="1:6" ht="14.25" customHeight="1" x14ac:dyDescent="0.3">
      <c r="A781" s="48"/>
      <c r="B781" s="45"/>
      <c r="C781" s="45"/>
      <c r="D781" s="45"/>
      <c r="E781" s="45"/>
      <c r="F781" s="45"/>
    </row>
    <row r="782" spans="1:6" ht="14.25" customHeight="1" x14ac:dyDescent="0.3">
      <c r="A782" s="48"/>
      <c r="B782" s="45"/>
      <c r="C782" s="45"/>
      <c r="D782" s="45"/>
      <c r="E782" s="45"/>
      <c r="F782" s="45"/>
    </row>
    <row r="783" spans="1:6" ht="14.25" customHeight="1" x14ac:dyDescent="0.3">
      <c r="A783" s="48"/>
      <c r="B783" s="45"/>
      <c r="C783" s="45"/>
      <c r="D783" s="45"/>
      <c r="E783" s="45"/>
      <c r="F783" s="45"/>
    </row>
    <row r="784" spans="1:6" ht="14.25" customHeight="1" x14ac:dyDescent="0.3">
      <c r="A784" s="48"/>
      <c r="B784" s="45"/>
      <c r="C784" s="45"/>
      <c r="D784" s="45"/>
      <c r="E784" s="45"/>
      <c r="F784" s="45"/>
    </row>
    <row r="785" spans="1:6" ht="14.25" customHeight="1" x14ac:dyDescent="0.3">
      <c r="A785" s="48"/>
      <c r="B785" s="45"/>
      <c r="C785" s="45"/>
      <c r="D785" s="45"/>
      <c r="E785" s="45"/>
      <c r="F785" s="45"/>
    </row>
    <row r="786" spans="1:6" ht="14.25" customHeight="1" x14ac:dyDescent="0.3">
      <c r="A786" s="48"/>
      <c r="B786" s="45"/>
      <c r="C786" s="45"/>
      <c r="D786" s="45"/>
      <c r="E786" s="45"/>
      <c r="F786" s="45"/>
    </row>
    <row r="787" spans="1:6" ht="14.25" customHeight="1" x14ac:dyDescent="0.3">
      <c r="A787" s="48"/>
      <c r="B787" s="45"/>
      <c r="C787" s="45"/>
      <c r="D787" s="45"/>
      <c r="E787" s="45"/>
      <c r="F787" s="45"/>
    </row>
    <row r="788" spans="1:6" ht="14.25" customHeight="1" x14ac:dyDescent="0.3">
      <c r="A788" s="48"/>
      <c r="B788" s="45"/>
      <c r="C788" s="45"/>
      <c r="D788" s="45"/>
      <c r="E788" s="45"/>
      <c r="F788" s="45"/>
    </row>
    <row r="789" spans="1:6" ht="14.25" customHeight="1" x14ac:dyDescent="0.3">
      <c r="A789" s="48"/>
      <c r="B789" s="45"/>
      <c r="C789" s="45"/>
      <c r="D789" s="45"/>
      <c r="E789" s="45"/>
      <c r="F789" s="45"/>
    </row>
    <row r="790" spans="1:6" ht="14.25" customHeight="1" x14ac:dyDescent="0.3">
      <c r="A790" s="48"/>
      <c r="B790" s="45"/>
      <c r="C790" s="45"/>
      <c r="D790" s="45"/>
      <c r="E790" s="45"/>
      <c r="F790" s="45"/>
    </row>
    <row r="791" spans="1:6" ht="14.25" customHeight="1" x14ac:dyDescent="0.3">
      <c r="A791" s="48"/>
      <c r="B791" s="45"/>
      <c r="C791" s="45"/>
      <c r="D791" s="45"/>
      <c r="E791" s="45"/>
      <c r="F791" s="45"/>
    </row>
    <row r="792" spans="1:6" ht="14.25" customHeight="1" x14ac:dyDescent="0.3">
      <c r="A792" s="48"/>
      <c r="B792" s="45"/>
      <c r="C792" s="45"/>
      <c r="D792" s="45"/>
      <c r="E792" s="45"/>
      <c r="F792" s="45"/>
    </row>
    <row r="793" spans="1:6" ht="14.25" customHeight="1" x14ac:dyDescent="0.3">
      <c r="A793" s="48"/>
      <c r="B793" s="45"/>
      <c r="C793" s="45"/>
      <c r="D793" s="45"/>
      <c r="E793" s="45"/>
      <c r="F793" s="45"/>
    </row>
    <row r="794" spans="1:6" ht="14.25" customHeight="1" x14ac:dyDescent="0.3">
      <c r="A794" s="48"/>
      <c r="B794" s="45"/>
      <c r="C794" s="45"/>
      <c r="D794" s="45"/>
      <c r="E794" s="45"/>
      <c r="F794" s="45"/>
    </row>
    <row r="795" spans="1:6" ht="14.25" customHeight="1" x14ac:dyDescent="0.3">
      <c r="A795" s="48"/>
      <c r="B795" s="45"/>
      <c r="C795" s="45"/>
      <c r="D795" s="45"/>
      <c r="E795" s="45"/>
      <c r="F795" s="45"/>
    </row>
    <row r="796" spans="1:6" ht="14.25" customHeight="1" x14ac:dyDescent="0.3">
      <c r="A796" s="48"/>
      <c r="B796" s="45"/>
      <c r="C796" s="45"/>
      <c r="D796" s="45"/>
      <c r="E796" s="45"/>
      <c r="F796" s="45"/>
    </row>
    <row r="797" spans="1:6" ht="14.25" customHeight="1" x14ac:dyDescent="0.3">
      <c r="A797" s="48"/>
      <c r="B797" s="45"/>
      <c r="C797" s="45"/>
      <c r="D797" s="45"/>
      <c r="E797" s="45"/>
      <c r="F797" s="45"/>
    </row>
    <row r="798" spans="1:6" ht="14.25" customHeight="1" x14ac:dyDescent="0.3">
      <c r="A798" s="48"/>
      <c r="B798" s="45"/>
      <c r="C798" s="45"/>
      <c r="D798" s="45"/>
      <c r="E798" s="45"/>
      <c r="F798" s="45"/>
    </row>
    <row r="799" spans="1:6" ht="14.25" customHeight="1" x14ac:dyDescent="0.3">
      <c r="A799" s="48"/>
      <c r="B799" s="45"/>
      <c r="C799" s="45"/>
      <c r="D799" s="45"/>
      <c r="E799" s="45"/>
      <c r="F799" s="45"/>
    </row>
    <row r="800" spans="1:6" ht="14.25" customHeight="1" x14ac:dyDescent="0.3">
      <c r="A800" s="48"/>
      <c r="B800" s="45"/>
      <c r="C800" s="45"/>
      <c r="D800" s="45"/>
      <c r="E800" s="45"/>
      <c r="F800" s="45"/>
    </row>
    <row r="801" spans="1:6" ht="14.25" customHeight="1" x14ac:dyDescent="0.3">
      <c r="A801" s="48"/>
      <c r="B801" s="45"/>
      <c r="C801" s="45"/>
      <c r="D801" s="45"/>
      <c r="E801" s="45"/>
      <c r="F801" s="45"/>
    </row>
    <row r="802" spans="1:6" ht="14.25" customHeight="1" x14ac:dyDescent="0.3">
      <c r="A802" s="48"/>
      <c r="B802" s="45"/>
      <c r="C802" s="45"/>
      <c r="D802" s="45"/>
      <c r="E802" s="45"/>
      <c r="F802" s="45"/>
    </row>
    <row r="803" spans="1:6" ht="14.25" customHeight="1" x14ac:dyDescent="0.3">
      <c r="A803" s="48"/>
      <c r="B803" s="45"/>
      <c r="C803" s="45"/>
      <c r="D803" s="45"/>
      <c r="E803" s="45"/>
      <c r="F803" s="45"/>
    </row>
    <row r="804" spans="1:6" ht="14.25" customHeight="1" x14ac:dyDescent="0.3">
      <c r="A804" s="48"/>
      <c r="B804" s="45"/>
      <c r="C804" s="45"/>
      <c r="D804" s="45"/>
      <c r="E804" s="45"/>
      <c r="F804" s="45"/>
    </row>
    <row r="805" spans="1:6" ht="14.25" customHeight="1" x14ac:dyDescent="0.3">
      <c r="A805" s="48"/>
      <c r="B805" s="45"/>
      <c r="C805" s="45"/>
      <c r="D805" s="45"/>
      <c r="E805" s="45"/>
      <c r="F805" s="45"/>
    </row>
    <row r="806" spans="1:6" ht="14.25" customHeight="1" x14ac:dyDescent="0.3">
      <c r="A806" s="48"/>
      <c r="B806" s="45"/>
      <c r="C806" s="45"/>
      <c r="D806" s="45"/>
      <c r="E806" s="45"/>
      <c r="F806" s="45"/>
    </row>
    <row r="807" spans="1:6" ht="14.25" customHeight="1" x14ac:dyDescent="0.3">
      <c r="A807" s="48"/>
      <c r="B807" s="45"/>
      <c r="C807" s="45"/>
      <c r="D807" s="45"/>
      <c r="E807" s="45"/>
      <c r="F807" s="45"/>
    </row>
    <row r="808" spans="1:6" ht="14.25" customHeight="1" x14ac:dyDescent="0.3">
      <c r="A808" s="48"/>
      <c r="B808" s="45"/>
      <c r="C808" s="45"/>
      <c r="D808" s="45"/>
      <c r="E808" s="45"/>
      <c r="F808" s="45"/>
    </row>
    <row r="809" spans="1:6" ht="14.25" customHeight="1" x14ac:dyDescent="0.3">
      <c r="A809" s="48"/>
      <c r="B809" s="45"/>
      <c r="C809" s="45"/>
      <c r="D809" s="45"/>
      <c r="E809" s="45"/>
      <c r="F809" s="45"/>
    </row>
    <row r="810" spans="1:6" ht="14.25" customHeight="1" x14ac:dyDescent="0.3">
      <c r="A810" s="48"/>
      <c r="B810" s="45"/>
      <c r="C810" s="45"/>
      <c r="D810" s="45"/>
      <c r="E810" s="45"/>
      <c r="F810" s="45"/>
    </row>
    <row r="811" spans="1:6" ht="14.25" customHeight="1" x14ac:dyDescent="0.3">
      <c r="A811" s="48"/>
      <c r="B811" s="45"/>
      <c r="C811" s="45"/>
      <c r="D811" s="45"/>
      <c r="E811" s="45"/>
      <c r="F811" s="45"/>
    </row>
    <row r="812" spans="1:6" ht="14.25" customHeight="1" x14ac:dyDescent="0.3">
      <c r="A812" s="48"/>
      <c r="B812" s="45"/>
      <c r="C812" s="45"/>
      <c r="D812" s="45"/>
      <c r="E812" s="45"/>
      <c r="F812" s="45"/>
    </row>
    <row r="813" spans="1:6" ht="14.25" customHeight="1" x14ac:dyDescent="0.3">
      <c r="A813" s="48"/>
      <c r="B813" s="45"/>
      <c r="C813" s="45"/>
      <c r="D813" s="45"/>
      <c r="E813" s="45"/>
      <c r="F813" s="45"/>
    </row>
    <row r="814" spans="1:6" ht="14.25" customHeight="1" x14ac:dyDescent="0.3">
      <c r="A814" s="48"/>
      <c r="B814" s="45"/>
      <c r="C814" s="45"/>
      <c r="D814" s="45"/>
      <c r="E814" s="45"/>
      <c r="F814" s="45"/>
    </row>
    <row r="815" spans="1:6" ht="14.25" customHeight="1" x14ac:dyDescent="0.3">
      <c r="A815" s="48"/>
      <c r="B815" s="45"/>
      <c r="C815" s="45"/>
      <c r="D815" s="45"/>
      <c r="E815" s="45"/>
      <c r="F815" s="45"/>
    </row>
    <row r="816" spans="1:6" ht="14.25" customHeight="1" x14ac:dyDescent="0.3">
      <c r="A816" s="48"/>
      <c r="B816" s="45"/>
      <c r="C816" s="45"/>
      <c r="D816" s="45"/>
      <c r="E816" s="45"/>
      <c r="F816" s="45"/>
    </row>
    <row r="817" spans="1:6" ht="14.25" customHeight="1" x14ac:dyDescent="0.3">
      <c r="A817" s="48"/>
      <c r="B817" s="45"/>
      <c r="C817" s="45"/>
      <c r="D817" s="45"/>
      <c r="E817" s="45"/>
      <c r="F817" s="45"/>
    </row>
    <row r="818" spans="1:6" ht="14.25" customHeight="1" x14ac:dyDescent="0.3">
      <c r="A818" s="48"/>
      <c r="B818" s="45"/>
      <c r="C818" s="45"/>
      <c r="D818" s="45"/>
      <c r="E818" s="45"/>
      <c r="F818" s="45"/>
    </row>
    <row r="819" spans="1:6" ht="14.25" customHeight="1" x14ac:dyDescent="0.3">
      <c r="A819" s="48"/>
      <c r="B819" s="45"/>
      <c r="C819" s="45"/>
      <c r="D819" s="45"/>
      <c r="E819" s="45"/>
      <c r="F819" s="45"/>
    </row>
    <row r="820" spans="1:6" ht="14.25" customHeight="1" x14ac:dyDescent="0.3">
      <c r="A820" s="48"/>
      <c r="B820" s="45"/>
      <c r="C820" s="45"/>
      <c r="D820" s="45"/>
      <c r="E820" s="45"/>
      <c r="F820" s="45"/>
    </row>
    <row r="821" spans="1:6" ht="14.25" customHeight="1" x14ac:dyDescent="0.3">
      <c r="A821" s="48"/>
      <c r="B821" s="45"/>
      <c r="C821" s="45"/>
      <c r="D821" s="45"/>
      <c r="E821" s="45"/>
      <c r="F821" s="45"/>
    </row>
    <row r="822" spans="1:6" ht="14.25" customHeight="1" x14ac:dyDescent="0.3">
      <c r="A822" s="48"/>
      <c r="B822" s="45"/>
      <c r="C822" s="45"/>
      <c r="D822" s="45"/>
      <c r="E822" s="45"/>
      <c r="F822" s="45"/>
    </row>
    <row r="823" spans="1:6" ht="14.25" customHeight="1" x14ac:dyDescent="0.3">
      <c r="A823" s="48"/>
      <c r="B823" s="45"/>
      <c r="C823" s="45"/>
      <c r="D823" s="45"/>
      <c r="E823" s="45"/>
      <c r="F823" s="45"/>
    </row>
    <row r="824" spans="1:6" ht="14.25" customHeight="1" x14ac:dyDescent="0.3">
      <c r="A824" s="48"/>
      <c r="B824" s="45"/>
      <c r="C824" s="45"/>
      <c r="D824" s="45"/>
      <c r="E824" s="45"/>
      <c r="F824" s="45"/>
    </row>
    <row r="825" spans="1:6" ht="14.25" customHeight="1" x14ac:dyDescent="0.3">
      <c r="A825" s="48"/>
      <c r="B825" s="45"/>
      <c r="C825" s="45"/>
      <c r="D825" s="45"/>
      <c r="E825" s="45"/>
      <c r="F825" s="45"/>
    </row>
    <row r="826" spans="1:6" ht="14.25" customHeight="1" x14ac:dyDescent="0.3">
      <c r="A826" s="48"/>
      <c r="B826" s="45"/>
      <c r="C826" s="45"/>
      <c r="D826" s="45"/>
      <c r="E826" s="45"/>
      <c r="F826" s="45"/>
    </row>
    <row r="827" spans="1:6" ht="14.25" customHeight="1" x14ac:dyDescent="0.3">
      <c r="A827" s="48"/>
      <c r="B827" s="45"/>
      <c r="C827" s="45"/>
      <c r="D827" s="45"/>
      <c r="E827" s="45"/>
      <c r="F827" s="45"/>
    </row>
    <row r="828" spans="1:6" ht="14.25" customHeight="1" x14ac:dyDescent="0.3">
      <c r="A828" s="48"/>
      <c r="B828" s="45"/>
      <c r="C828" s="45"/>
      <c r="D828" s="45"/>
      <c r="E828" s="45"/>
      <c r="F828" s="45"/>
    </row>
    <row r="829" spans="1:6" ht="14.25" customHeight="1" x14ac:dyDescent="0.3">
      <c r="A829" s="48"/>
      <c r="B829" s="45"/>
      <c r="C829" s="45"/>
      <c r="D829" s="45"/>
      <c r="E829" s="45"/>
      <c r="F829" s="45"/>
    </row>
    <row r="830" spans="1:6" ht="14.25" customHeight="1" x14ac:dyDescent="0.3">
      <c r="A830" s="48"/>
      <c r="B830" s="45"/>
      <c r="C830" s="45"/>
      <c r="D830" s="45"/>
      <c r="E830" s="45"/>
      <c r="F830" s="45"/>
    </row>
    <row r="831" spans="1:6" ht="14.25" customHeight="1" x14ac:dyDescent="0.3">
      <c r="A831" s="48"/>
      <c r="B831" s="45"/>
      <c r="C831" s="45"/>
      <c r="D831" s="45"/>
      <c r="E831" s="45"/>
      <c r="F831" s="45"/>
    </row>
    <row r="832" spans="1:6" ht="14.25" customHeight="1" x14ac:dyDescent="0.3">
      <c r="A832" s="48"/>
      <c r="B832" s="45"/>
      <c r="C832" s="45"/>
      <c r="D832" s="45"/>
      <c r="E832" s="45"/>
      <c r="F832" s="45"/>
    </row>
    <row r="833" spans="1:6" ht="14.25" customHeight="1" x14ac:dyDescent="0.3">
      <c r="A833" s="48"/>
      <c r="B833" s="45"/>
      <c r="C833" s="45"/>
      <c r="D833" s="45"/>
      <c r="E833" s="45"/>
      <c r="F833" s="45"/>
    </row>
    <row r="834" spans="1:6" ht="14.25" customHeight="1" x14ac:dyDescent="0.3">
      <c r="A834" s="48"/>
      <c r="B834" s="45"/>
      <c r="C834" s="45"/>
      <c r="D834" s="45"/>
      <c r="E834" s="45"/>
      <c r="F834" s="45"/>
    </row>
    <row r="835" spans="1:6" ht="14.25" customHeight="1" x14ac:dyDescent="0.3">
      <c r="A835" s="48"/>
      <c r="B835" s="45"/>
      <c r="C835" s="45"/>
      <c r="D835" s="45"/>
      <c r="E835" s="45"/>
      <c r="F835" s="45"/>
    </row>
    <row r="836" spans="1:6" ht="14.25" customHeight="1" x14ac:dyDescent="0.3">
      <c r="A836" s="48"/>
      <c r="B836" s="45"/>
      <c r="C836" s="45"/>
      <c r="D836" s="45"/>
      <c r="E836" s="45"/>
      <c r="F836" s="45"/>
    </row>
    <row r="837" spans="1:6" ht="14.25" customHeight="1" x14ac:dyDescent="0.3">
      <c r="A837" s="48"/>
      <c r="B837" s="45"/>
      <c r="C837" s="45"/>
      <c r="D837" s="45"/>
      <c r="E837" s="45"/>
      <c r="F837" s="45"/>
    </row>
    <row r="838" spans="1:6" ht="14.25" customHeight="1" x14ac:dyDescent="0.3">
      <c r="A838" s="48"/>
      <c r="B838" s="45"/>
      <c r="C838" s="45"/>
      <c r="D838" s="45"/>
      <c r="E838" s="45"/>
      <c r="F838" s="45"/>
    </row>
    <row r="839" spans="1:6" ht="14.25" customHeight="1" x14ac:dyDescent="0.3">
      <c r="A839" s="48"/>
      <c r="B839" s="45"/>
      <c r="C839" s="45"/>
      <c r="D839" s="45"/>
      <c r="E839" s="45"/>
      <c r="F839" s="45"/>
    </row>
    <row r="840" spans="1:6" ht="14.25" customHeight="1" x14ac:dyDescent="0.3">
      <c r="A840" s="48"/>
      <c r="B840" s="45"/>
      <c r="C840" s="45"/>
      <c r="D840" s="45"/>
      <c r="E840" s="45"/>
      <c r="F840" s="45"/>
    </row>
    <row r="841" spans="1:6" ht="14.25" customHeight="1" x14ac:dyDescent="0.3">
      <c r="A841" s="48"/>
      <c r="B841" s="45"/>
      <c r="C841" s="45"/>
      <c r="D841" s="45"/>
      <c r="E841" s="45"/>
      <c r="F841" s="45"/>
    </row>
    <row r="842" spans="1:6" ht="14.25" customHeight="1" x14ac:dyDescent="0.3">
      <c r="A842" s="48"/>
      <c r="B842" s="45"/>
      <c r="C842" s="45"/>
      <c r="D842" s="45"/>
      <c r="E842" s="45"/>
      <c r="F842" s="45"/>
    </row>
    <row r="843" spans="1:6" ht="14.25" customHeight="1" x14ac:dyDescent="0.3">
      <c r="A843" s="48"/>
      <c r="B843" s="45"/>
      <c r="C843" s="45"/>
      <c r="D843" s="45"/>
      <c r="E843" s="45"/>
      <c r="F843" s="45"/>
    </row>
    <row r="844" spans="1:6" ht="14.25" customHeight="1" x14ac:dyDescent="0.3">
      <c r="A844" s="48"/>
      <c r="B844" s="45"/>
      <c r="C844" s="45"/>
      <c r="D844" s="45"/>
      <c r="E844" s="45"/>
      <c r="F844" s="45"/>
    </row>
    <row r="845" spans="1:6" ht="14.25" customHeight="1" x14ac:dyDescent="0.3">
      <c r="A845" s="48"/>
      <c r="B845" s="45"/>
      <c r="C845" s="45"/>
      <c r="D845" s="45"/>
      <c r="E845" s="45"/>
      <c r="F845" s="45"/>
    </row>
    <row r="846" spans="1:6" ht="14.25" customHeight="1" x14ac:dyDescent="0.3">
      <c r="A846" s="48"/>
      <c r="B846" s="45"/>
      <c r="C846" s="45"/>
      <c r="D846" s="45"/>
      <c r="E846" s="45"/>
      <c r="F846" s="45"/>
    </row>
    <row r="847" spans="1:6" ht="14.25" customHeight="1" x14ac:dyDescent="0.3">
      <c r="A847" s="48"/>
      <c r="B847" s="45"/>
      <c r="C847" s="45"/>
      <c r="D847" s="45"/>
      <c r="E847" s="45"/>
      <c r="F847" s="45"/>
    </row>
    <row r="848" spans="1:6" ht="14.25" customHeight="1" x14ac:dyDescent="0.3">
      <c r="A848" s="48"/>
      <c r="B848" s="45"/>
      <c r="C848" s="45"/>
      <c r="D848" s="45"/>
      <c r="E848" s="45"/>
      <c r="F848" s="45"/>
    </row>
    <row r="849" spans="1:6" ht="14.25" customHeight="1" x14ac:dyDescent="0.3">
      <c r="A849" s="48"/>
      <c r="B849" s="45"/>
      <c r="C849" s="45"/>
      <c r="D849" s="45"/>
      <c r="E849" s="45"/>
      <c r="F849" s="45"/>
    </row>
    <row r="850" spans="1:6" ht="14.25" customHeight="1" x14ac:dyDescent="0.3">
      <c r="A850" s="48"/>
      <c r="B850" s="45"/>
      <c r="C850" s="45"/>
      <c r="D850" s="45"/>
      <c r="E850" s="45"/>
      <c r="F850" s="45"/>
    </row>
    <row r="851" spans="1:6" ht="14.25" customHeight="1" x14ac:dyDescent="0.3">
      <c r="A851" s="48"/>
      <c r="B851" s="45"/>
      <c r="C851" s="45"/>
      <c r="D851" s="45"/>
      <c r="E851" s="45"/>
      <c r="F851" s="45"/>
    </row>
    <row r="852" spans="1:6" ht="14.25" customHeight="1" x14ac:dyDescent="0.3">
      <c r="A852" s="48"/>
      <c r="B852" s="45"/>
      <c r="C852" s="45"/>
      <c r="D852" s="45"/>
      <c r="E852" s="45"/>
      <c r="F852" s="45"/>
    </row>
    <row r="853" spans="1:6" ht="14.25" customHeight="1" x14ac:dyDescent="0.3">
      <c r="A853" s="48"/>
      <c r="B853" s="45"/>
      <c r="C853" s="45"/>
      <c r="D853" s="45"/>
      <c r="E853" s="45"/>
      <c r="F853" s="45"/>
    </row>
    <row r="854" spans="1:6" ht="14.25" customHeight="1" x14ac:dyDescent="0.3">
      <c r="A854" s="48"/>
      <c r="B854" s="45"/>
      <c r="C854" s="45"/>
      <c r="D854" s="45"/>
      <c r="E854" s="45"/>
      <c r="F854" s="45"/>
    </row>
    <row r="855" spans="1:6" ht="14.25" customHeight="1" x14ac:dyDescent="0.3">
      <c r="A855" s="48"/>
      <c r="B855" s="45"/>
      <c r="C855" s="45"/>
      <c r="D855" s="45"/>
      <c r="E855" s="45"/>
      <c r="F855" s="45"/>
    </row>
    <row r="856" spans="1:6" ht="14.25" customHeight="1" x14ac:dyDescent="0.3">
      <c r="A856" s="48"/>
      <c r="B856" s="45"/>
      <c r="C856" s="45"/>
      <c r="D856" s="45"/>
      <c r="E856" s="45"/>
      <c r="F856" s="45"/>
    </row>
    <row r="857" spans="1:6" ht="14.25" customHeight="1" x14ac:dyDescent="0.3">
      <c r="A857" s="48"/>
      <c r="B857" s="45"/>
      <c r="C857" s="45"/>
      <c r="D857" s="45"/>
      <c r="E857" s="45"/>
      <c r="F857" s="45"/>
    </row>
    <row r="858" spans="1:6" ht="14.25" customHeight="1" x14ac:dyDescent="0.3">
      <c r="A858" s="48"/>
      <c r="B858" s="45"/>
      <c r="C858" s="45"/>
      <c r="D858" s="45"/>
      <c r="E858" s="45"/>
      <c r="F858" s="45"/>
    </row>
    <row r="859" spans="1:6" ht="14.25" customHeight="1" x14ac:dyDescent="0.3">
      <c r="A859" s="48"/>
      <c r="B859" s="45"/>
      <c r="C859" s="45"/>
      <c r="D859" s="45"/>
      <c r="E859" s="45"/>
      <c r="F859" s="45"/>
    </row>
    <row r="860" spans="1:6" ht="14.25" customHeight="1" x14ac:dyDescent="0.3">
      <c r="A860" s="48"/>
      <c r="B860" s="45"/>
      <c r="C860" s="45"/>
      <c r="D860" s="45"/>
      <c r="E860" s="45"/>
      <c r="F860" s="45"/>
    </row>
    <row r="861" spans="1:6" ht="14.25" customHeight="1" x14ac:dyDescent="0.3">
      <c r="A861" s="48"/>
      <c r="B861" s="45"/>
      <c r="C861" s="45"/>
      <c r="D861" s="45"/>
      <c r="E861" s="45"/>
      <c r="F861" s="45"/>
    </row>
    <row r="862" spans="1:6" ht="14.25" customHeight="1" x14ac:dyDescent="0.3">
      <c r="A862" s="48"/>
      <c r="B862" s="45"/>
      <c r="C862" s="45"/>
      <c r="D862" s="45"/>
      <c r="E862" s="45"/>
      <c r="F862" s="45"/>
    </row>
    <row r="863" spans="1:6" ht="14.25" customHeight="1" x14ac:dyDescent="0.3">
      <c r="A863" s="48"/>
      <c r="B863" s="45"/>
      <c r="C863" s="45"/>
      <c r="D863" s="45"/>
      <c r="E863" s="45"/>
      <c r="F863" s="45"/>
    </row>
    <row r="864" spans="1:6" ht="14.25" customHeight="1" x14ac:dyDescent="0.3">
      <c r="A864" s="48"/>
      <c r="B864" s="45"/>
      <c r="C864" s="45"/>
      <c r="D864" s="45"/>
      <c r="E864" s="45"/>
      <c r="F864" s="45"/>
    </row>
    <row r="865" spans="1:6" ht="14.25" customHeight="1" x14ac:dyDescent="0.3">
      <c r="A865" s="48"/>
      <c r="B865" s="45"/>
      <c r="C865" s="45"/>
      <c r="D865" s="45"/>
      <c r="E865" s="45"/>
      <c r="F865" s="45"/>
    </row>
    <row r="866" spans="1:6" ht="14.25" customHeight="1" x14ac:dyDescent="0.3">
      <c r="A866" s="48"/>
      <c r="B866" s="45"/>
      <c r="C866" s="45"/>
      <c r="D866" s="45"/>
      <c r="E866" s="45"/>
      <c r="F866" s="45"/>
    </row>
    <row r="867" spans="1:6" ht="14.25" customHeight="1" x14ac:dyDescent="0.3">
      <c r="A867" s="48"/>
      <c r="B867" s="45"/>
      <c r="C867" s="45"/>
      <c r="D867" s="45"/>
      <c r="E867" s="45"/>
      <c r="F867" s="45"/>
    </row>
    <row r="868" spans="1:6" ht="14.25" customHeight="1" x14ac:dyDescent="0.3">
      <c r="A868" s="48"/>
      <c r="B868" s="45"/>
      <c r="C868" s="45"/>
      <c r="D868" s="45"/>
      <c r="E868" s="45"/>
      <c r="F868" s="45"/>
    </row>
    <row r="869" spans="1:6" ht="14.25" customHeight="1" x14ac:dyDescent="0.3">
      <c r="A869" s="48"/>
      <c r="B869" s="45"/>
      <c r="C869" s="45"/>
      <c r="D869" s="45"/>
      <c r="E869" s="45"/>
      <c r="F869" s="45"/>
    </row>
    <row r="870" spans="1:6" ht="14.25" customHeight="1" x14ac:dyDescent="0.3">
      <c r="A870" s="48"/>
      <c r="B870" s="45"/>
      <c r="C870" s="45"/>
      <c r="D870" s="45"/>
      <c r="E870" s="45"/>
      <c r="F870" s="45"/>
    </row>
    <row r="871" spans="1:6" ht="14.25" customHeight="1" x14ac:dyDescent="0.3">
      <c r="A871" s="48"/>
      <c r="B871" s="45"/>
      <c r="C871" s="45"/>
      <c r="D871" s="45"/>
      <c r="E871" s="45"/>
      <c r="F871" s="45"/>
    </row>
    <row r="872" spans="1:6" ht="14.25" customHeight="1" x14ac:dyDescent="0.3">
      <c r="A872" s="48"/>
      <c r="B872" s="45"/>
      <c r="C872" s="45"/>
      <c r="D872" s="45"/>
      <c r="E872" s="45"/>
      <c r="F872" s="45"/>
    </row>
    <row r="873" spans="1:6" ht="14.25" customHeight="1" x14ac:dyDescent="0.3">
      <c r="A873" s="48"/>
      <c r="B873" s="45"/>
      <c r="C873" s="45"/>
      <c r="D873" s="45"/>
      <c r="E873" s="45"/>
      <c r="F873" s="45"/>
    </row>
    <row r="874" spans="1:6" ht="14.25" customHeight="1" x14ac:dyDescent="0.3">
      <c r="A874" s="48"/>
      <c r="B874" s="45"/>
      <c r="C874" s="45"/>
      <c r="D874" s="45"/>
      <c r="E874" s="45"/>
      <c r="F874" s="45"/>
    </row>
    <row r="875" spans="1:6" ht="14.25" customHeight="1" x14ac:dyDescent="0.3">
      <c r="A875" s="48"/>
      <c r="B875" s="45"/>
      <c r="C875" s="45"/>
      <c r="D875" s="45"/>
      <c r="E875" s="45"/>
      <c r="F875" s="45"/>
    </row>
    <row r="876" spans="1:6" ht="14.25" customHeight="1" x14ac:dyDescent="0.3">
      <c r="A876" s="48"/>
      <c r="B876" s="45"/>
      <c r="C876" s="45"/>
      <c r="D876" s="45"/>
      <c r="E876" s="45"/>
      <c r="F876" s="45"/>
    </row>
    <row r="877" spans="1:6" ht="14.25" customHeight="1" x14ac:dyDescent="0.3">
      <c r="A877" s="48"/>
      <c r="B877" s="45"/>
      <c r="C877" s="45"/>
      <c r="D877" s="45"/>
      <c r="E877" s="45"/>
      <c r="F877" s="45"/>
    </row>
    <row r="878" spans="1:6" ht="14.25" customHeight="1" x14ac:dyDescent="0.3">
      <c r="A878" s="48"/>
      <c r="B878" s="45"/>
      <c r="C878" s="45"/>
      <c r="D878" s="45"/>
      <c r="E878" s="45"/>
      <c r="F878" s="45"/>
    </row>
    <row r="879" spans="1:6" ht="14.25" customHeight="1" x14ac:dyDescent="0.3">
      <c r="A879" s="48"/>
      <c r="B879" s="45"/>
      <c r="C879" s="45"/>
      <c r="D879" s="45"/>
      <c r="E879" s="45"/>
      <c r="F879" s="45"/>
    </row>
    <row r="880" spans="1:6" ht="14.25" customHeight="1" x14ac:dyDescent="0.3">
      <c r="A880" s="48"/>
      <c r="B880" s="45"/>
      <c r="C880" s="45"/>
      <c r="D880" s="45"/>
      <c r="E880" s="45"/>
      <c r="F880" s="45"/>
    </row>
    <row r="881" spans="1:6" ht="14.25" customHeight="1" x14ac:dyDescent="0.3">
      <c r="A881" s="48"/>
      <c r="B881" s="45"/>
      <c r="C881" s="45"/>
      <c r="D881" s="45"/>
      <c r="E881" s="45"/>
      <c r="F881" s="45"/>
    </row>
    <row r="882" spans="1:6" ht="14.25" customHeight="1" x14ac:dyDescent="0.3">
      <c r="A882" s="48"/>
      <c r="B882" s="45"/>
      <c r="C882" s="45"/>
      <c r="D882" s="45"/>
      <c r="E882" s="45"/>
      <c r="F882" s="45"/>
    </row>
    <row r="883" spans="1:6" ht="14.25" customHeight="1" x14ac:dyDescent="0.3">
      <c r="A883" s="48"/>
      <c r="B883" s="45"/>
      <c r="C883" s="45"/>
      <c r="D883" s="45"/>
      <c r="E883" s="45"/>
      <c r="F883" s="45"/>
    </row>
    <row r="884" spans="1:6" ht="14.25" customHeight="1" x14ac:dyDescent="0.3">
      <c r="A884" s="48"/>
      <c r="B884" s="45"/>
      <c r="C884" s="45"/>
      <c r="D884" s="45"/>
      <c r="E884" s="45"/>
      <c r="F884" s="45"/>
    </row>
    <row r="885" spans="1:6" ht="14.25" customHeight="1" x14ac:dyDescent="0.3">
      <c r="A885" s="48"/>
      <c r="B885" s="45"/>
      <c r="C885" s="45"/>
      <c r="D885" s="45"/>
      <c r="E885" s="45"/>
      <c r="F885" s="45"/>
    </row>
    <row r="886" spans="1:6" ht="14.25" customHeight="1" x14ac:dyDescent="0.3">
      <c r="A886" s="48"/>
      <c r="B886" s="45"/>
      <c r="C886" s="45"/>
      <c r="D886" s="45"/>
      <c r="E886" s="45"/>
      <c r="F886" s="45"/>
    </row>
    <row r="887" spans="1:6" ht="14.25" customHeight="1" x14ac:dyDescent="0.3">
      <c r="A887" s="48"/>
      <c r="B887" s="45"/>
      <c r="C887" s="45"/>
      <c r="D887" s="45"/>
      <c r="E887" s="45"/>
      <c r="F887" s="45"/>
    </row>
    <row r="888" spans="1:6" ht="14.25" customHeight="1" x14ac:dyDescent="0.3">
      <c r="A888" s="48"/>
      <c r="B888" s="45"/>
      <c r="C888" s="45"/>
      <c r="D888" s="45"/>
      <c r="E888" s="45"/>
      <c r="F888" s="45"/>
    </row>
    <row r="889" spans="1:6" ht="14.25" customHeight="1" x14ac:dyDescent="0.3">
      <c r="A889" s="48"/>
      <c r="B889" s="45"/>
      <c r="C889" s="45"/>
      <c r="D889" s="45"/>
      <c r="E889" s="45"/>
      <c r="F889" s="45"/>
    </row>
    <row r="890" spans="1:6" ht="14.25" customHeight="1" x14ac:dyDescent="0.3">
      <c r="A890" s="48"/>
      <c r="B890" s="45"/>
      <c r="C890" s="45"/>
      <c r="D890" s="45"/>
      <c r="E890" s="45"/>
      <c r="F890" s="45"/>
    </row>
    <row r="891" spans="1:6" ht="14.25" customHeight="1" x14ac:dyDescent="0.3">
      <c r="A891" s="48"/>
      <c r="B891" s="45"/>
      <c r="C891" s="45"/>
      <c r="D891" s="45"/>
      <c r="E891" s="45"/>
      <c r="F891" s="45"/>
    </row>
    <row r="892" spans="1:6" ht="14.25" customHeight="1" x14ac:dyDescent="0.3">
      <c r="A892" s="48"/>
      <c r="B892" s="45"/>
      <c r="C892" s="45"/>
      <c r="D892" s="45"/>
      <c r="E892" s="45"/>
      <c r="F892" s="45"/>
    </row>
    <row r="893" spans="1:6" ht="14.25" customHeight="1" x14ac:dyDescent="0.3">
      <c r="A893" s="48"/>
      <c r="B893" s="45"/>
      <c r="C893" s="45"/>
      <c r="D893" s="45"/>
      <c r="E893" s="45"/>
      <c r="F893" s="45"/>
    </row>
    <row r="894" spans="1:6" ht="14.25" customHeight="1" x14ac:dyDescent="0.3">
      <c r="A894" s="48"/>
      <c r="B894" s="45"/>
      <c r="C894" s="45"/>
      <c r="D894" s="45"/>
      <c r="E894" s="45"/>
      <c r="F894" s="45"/>
    </row>
    <row r="895" spans="1:6" ht="14.25" customHeight="1" x14ac:dyDescent="0.3">
      <c r="A895" s="48"/>
      <c r="B895" s="45"/>
      <c r="C895" s="45"/>
      <c r="D895" s="45"/>
      <c r="E895" s="45"/>
      <c r="F895" s="45"/>
    </row>
    <row r="896" spans="1:6" ht="14.25" customHeight="1" x14ac:dyDescent="0.3">
      <c r="A896" s="48"/>
      <c r="B896" s="45"/>
      <c r="C896" s="45"/>
      <c r="D896" s="45"/>
      <c r="E896" s="45"/>
      <c r="F896" s="45"/>
    </row>
    <row r="897" spans="1:6" ht="14.25" customHeight="1" x14ac:dyDescent="0.3">
      <c r="A897" s="48"/>
      <c r="B897" s="45"/>
      <c r="C897" s="45"/>
      <c r="D897" s="45"/>
      <c r="E897" s="45"/>
      <c r="F897" s="45"/>
    </row>
    <row r="898" spans="1:6" ht="14.25" customHeight="1" x14ac:dyDescent="0.3">
      <c r="A898" s="48"/>
      <c r="B898" s="45"/>
      <c r="C898" s="45"/>
      <c r="D898" s="45"/>
      <c r="E898" s="45"/>
      <c r="F898" s="45"/>
    </row>
    <row r="899" spans="1:6" ht="14.25" customHeight="1" x14ac:dyDescent="0.3">
      <c r="A899" s="48"/>
      <c r="B899" s="45"/>
      <c r="C899" s="45"/>
      <c r="D899" s="45"/>
      <c r="E899" s="45"/>
      <c r="F899" s="45"/>
    </row>
    <row r="900" spans="1:6" ht="14.25" customHeight="1" x14ac:dyDescent="0.3">
      <c r="A900" s="48"/>
      <c r="B900" s="45"/>
      <c r="C900" s="45"/>
      <c r="D900" s="45"/>
      <c r="E900" s="45"/>
      <c r="F900" s="45"/>
    </row>
    <row r="901" spans="1:6" ht="14.25" customHeight="1" x14ac:dyDescent="0.3">
      <c r="A901" s="48"/>
      <c r="B901" s="45"/>
      <c r="C901" s="45"/>
      <c r="D901" s="45"/>
      <c r="E901" s="45"/>
      <c r="F901" s="45"/>
    </row>
    <row r="902" spans="1:6" ht="14.25" customHeight="1" x14ac:dyDescent="0.3">
      <c r="A902" s="48"/>
      <c r="B902" s="45"/>
      <c r="C902" s="45"/>
      <c r="D902" s="45"/>
      <c r="E902" s="45"/>
      <c r="F902" s="45"/>
    </row>
    <row r="903" spans="1:6" ht="14.25" customHeight="1" x14ac:dyDescent="0.3">
      <c r="A903" s="48"/>
      <c r="B903" s="45"/>
      <c r="C903" s="45"/>
      <c r="D903" s="45"/>
      <c r="E903" s="45"/>
      <c r="F903" s="45"/>
    </row>
    <row r="904" spans="1:6" ht="14.25" customHeight="1" x14ac:dyDescent="0.3">
      <c r="A904" s="48"/>
      <c r="B904" s="45"/>
      <c r="C904" s="45"/>
      <c r="D904" s="45"/>
      <c r="E904" s="45"/>
      <c r="F904" s="45"/>
    </row>
    <row r="905" spans="1:6" ht="14.25" customHeight="1" x14ac:dyDescent="0.3">
      <c r="A905" s="48"/>
      <c r="B905" s="45"/>
      <c r="C905" s="45"/>
      <c r="D905" s="45"/>
      <c r="E905" s="45"/>
      <c r="F905" s="45"/>
    </row>
    <row r="906" spans="1:6" ht="14.25" customHeight="1" x14ac:dyDescent="0.3">
      <c r="A906" s="48"/>
      <c r="B906" s="45"/>
      <c r="C906" s="45"/>
      <c r="D906" s="45"/>
      <c r="E906" s="45"/>
      <c r="F906" s="45"/>
    </row>
    <row r="907" spans="1:6" ht="14.25" customHeight="1" x14ac:dyDescent="0.3">
      <c r="A907" s="48"/>
      <c r="B907" s="45"/>
      <c r="C907" s="45"/>
      <c r="D907" s="45"/>
      <c r="E907" s="45"/>
      <c r="F907" s="45"/>
    </row>
    <row r="908" spans="1:6" ht="14.25" customHeight="1" x14ac:dyDescent="0.3">
      <c r="A908" s="48"/>
      <c r="B908" s="45"/>
      <c r="C908" s="45"/>
      <c r="D908" s="45"/>
      <c r="E908" s="45"/>
      <c r="F908" s="45"/>
    </row>
    <row r="909" spans="1:6" ht="14.25" customHeight="1" x14ac:dyDescent="0.3">
      <c r="A909" s="48"/>
      <c r="B909" s="45"/>
      <c r="C909" s="45"/>
      <c r="D909" s="45"/>
      <c r="E909" s="45"/>
      <c r="F909" s="45"/>
    </row>
    <row r="910" spans="1:6" ht="14.25" customHeight="1" x14ac:dyDescent="0.3">
      <c r="A910" s="48"/>
      <c r="B910" s="45"/>
      <c r="C910" s="45"/>
      <c r="D910" s="45"/>
      <c r="E910" s="45"/>
      <c r="F910" s="45"/>
    </row>
    <row r="911" spans="1:6" ht="14.25" customHeight="1" x14ac:dyDescent="0.3">
      <c r="A911" s="48"/>
      <c r="B911" s="45"/>
      <c r="C911" s="45"/>
      <c r="D911" s="45"/>
      <c r="E911" s="45"/>
      <c r="F911" s="45"/>
    </row>
    <row r="912" spans="1:6" ht="14.25" customHeight="1" x14ac:dyDescent="0.3">
      <c r="A912" s="48"/>
      <c r="B912" s="45"/>
      <c r="C912" s="45"/>
      <c r="D912" s="45"/>
      <c r="E912" s="45"/>
      <c r="F912" s="45"/>
    </row>
    <row r="913" spans="1:6" ht="14.25" customHeight="1" x14ac:dyDescent="0.3">
      <c r="A913" s="48"/>
      <c r="B913" s="45"/>
      <c r="C913" s="45"/>
      <c r="D913" s="45"/>
      <c r="E913" s="45"/>
      <c r="F913" s="45"/>
    </row>
    <row r="914" spans="1:6" ht="14.25" customHeight="1" x14ac:dyDescent="0.3">
      <c r="A914" s="48"/>
      <c r="B914" s="45"/>
      <c r="C914" s="45"/>
      <c r="D914" s="45"/>
      <c r="E914" s="45"/>
      <c r="F914" s="45"/>
    </row>
    <row r="915" spans="1:6" ht="14.25" customHeight="1" x14ac:dyDescent="0.3">
      <c r="A915" s="48"/>
      <c r="B915" s="45"/>
      <c r="C915" s="45"/>
      <c r="D915" s="45"/>
      <c r="E915" s="45"/>
      <c r="F915" s="45"/>
    </row>
    <row r="916" spans="1:6" ht="14.25" customHeight="1" x14ac:dyDescent="0.3">
      <c r="A916" s="48"/>
      <c r="B916" s="45"/>
      <c r="C916" s="45"/>
      <c r="D916" s="45"/>
      <c r="E916" s="45"/>
      <c r="F916" s="45"/>
    </row>
    <row r="917" spans="1:6" ht="14.25" customHeight="1" x14ac:dyDescent="0.3">
      <c r="A917" s="48"/>
      <c r="B917" s="45"/>
      <c r="C917" s="45"/>
      <c r="D917" s="45"/>
      <c r="E917" s="45"/>
      <c r="F917" s="45"/>
    </row>
    <row r="918" spans="1:6" ht="14.25" customHeight="1" x14ac:dyDescent="0.3">
      <c r="A918" s="48"/>
      <c r="B918" s="45"/>
      <c r="C918" s="45"/>
      <c r="D918" s="45"/>
      <c r="E918" s="45"/>
      <c r="F918" s="45"/>
    </row>
    <row r="919" spans="1:6" ht="14.25" customHeight="1" x14ac:dyDescent="0.3">
      <c r="A919" s="48"/>
      <c r="B919" s="45"/>
      <c r="C919" s="45"/>
      <c r="D919" s="45"/>
      <c r="E919" s="45"/>
      <c r="F919" s="45"/>
    </row>
    <row r="920" spans="1:6" ht="14.25" customHeight="1" x14ac:dyDescent="0.3">
      <c r="A920" s="48"/>
      <c r="B920" s="45"/>
      <c r="C920" s="45"/>
      <c r="D920" s="45"/>
      <c r="E920" s="45"/>
      <c r="F920" s="45"/>
    </row>
    <row r="921" spans="1:6" ht="14.25" customHeight="1" x14ac:dyDescent="0.3">
      <c r="A921" s="48"/>
      <c r="B921" s="45"/>
      <c r="C921" s="45"/>
      <c r="D921" s="45"/>
      <c r="E921" s="45"/>
      <c r="F921" s="45"/>
    </row>
    <row r="922" spans="1:6" ht="14.25" customHeight="1" x14ac:dyDescent="0.3">
      <c r="A922" s="48"/>
      <c r="B922" s="45"/>
      <c r="C922" s="45"/>
      <c r="D922" s="45"/>
      <c r="E922" s="45"/>
      <c r="F922" s="45"/>
    </row>
    <row r="923" spans="1:6" ht="14.25" customHeight="1" x14ac:dyDescent="0.3">
      <c r="A923" s="48"/>
      <c r="B923" s="45"/>
      <c r="C923" s="45"/>
      <c r="D923" s="45"/>
      <c r="E923" s="45"/>
      <c r="F923" s="45"/>
    </row>
    <row r="924" spans="1:6" ht="14.25" customHeight="1" x14ac:dyDescent="0.3">
      <c r="A924" s="48"/>
      <c r="B924" s="45"/>
      <c r="C924" s="45"/>
      <c r="D924" s="45"/>
      <c r="E924" s="45"/>
      <c r="F924" s="45"/>
    </row>
    <row r="925" spans="1:6" ht="14.25" customHeight="1" x14ac:dyDescent="0.3">
      <c r="A925" s="48"/>
      <c r="B925" s="45"/>
      <c r="C925" s="45"/>
      <c r="D925" s="45"/>
      <c r="E925" s="45"/>
      <c r="F925" s="45"/>
    </row>
    <row r="926" spans="1:6" ht="14.25" customHeight="1" x14ac:dyDescent="0.3">
      <c r="A926" s="48"/>
      <c r="B926" s="45"/>
      <c r="C926" s="45"/>
      <c r="D926" s="45"/>
      <c r="E926" s="45"/>
      <c r="F926" s="45"/>
    </row>
    <row r="927" spans="1:6" ht="14.25" customHeight="1" x14ac:dyDescent="0.3">
      <c r="A927" s="48"/>
      <c r="B927" s="45"/>
      <c r="C927" s="45"/>
      <c r="D927" s="45"/>
      <c r="E927" s="45"/>
      <c r="F927" s="45"/>
    </row>
    <row r="928" spans="1:6" ht="14.25" customHeight="1" x14ac:dyDescent="0.3">
      <c r="A928" s="48"/>
      <c r="B928" s="45"/>
      <c r="C928" s="45"/>
      <c r="D928" s="45"/>
      <c r="E928" s="45"/>
      <c r="F928" s="45"/>
    </row>
    <row r="929" spans="1:6" ht="14.25" customHeight="1" x14ac:dyDescent="0.3">
      <c r="A929" s="48"/>
      <c r="B929" s="45"/>
      <c r="C929" s="45"/>
      <c r="D929" s="45"/>
      <c r="E929" s="45"/>
      <c r="F929" s="45"/>
    </row>
    <row r="930" spans="1:6" ht="14.25" customHeight="1" x14ac:dyDescent="0.3">
      <c r="A930" s="48"/>
      <c r="B930" s="45"/>
      <c r="C930" s="45"/>
      <c r="D930" s="45"/>
      <c r="E930" s="45"/>
      <c r="F930" s="45"/>
    </row>
    <row r="931" spans="1:6" ht="14.25" customHeight="1" x14ac:dyDescent="0.3">
      <c r="A931" s="48"/>
      <c r="B931" s="45"/>
      <c r="C931" s="45"/>
      <c r="D931" s="45"/>
      <c r="E931" s="45"/>
      <c r="F931" s="45"/>
    </row>
    <row r="932" spans="1:6" ht="14.25" customHeight="1" x14ac:dyDescent="0.3">
      <c r="A932" s="48"/>
      <c r="B932" s="45"/>
      <c r="C932" s="45"/>
      <c r="D932" s="45"/>
      <c r="E932" s="45"/>
      <c r="F932" s="45"/>
    </row>
    <row r="933" spans="1:6" ht="14.25" customHeight="1" x14ac:dyDescent="0.3">
      <c r="A933" s="48"/>
      <c r="B933" s="45"/>
      <c r="C933" s="45"/>
      <c r="D933" s="45"/>
      <c r="E933" s="45"/>
      <c r="F933" s="45"/>
    </row>
    <row r="934" spans="1:6" ht="14.25" customHeight="1" x14ac:dyDescent="0.3">
      <c r="A934" s="48"/>
      <c r="B934" s="45"/>
      <c r="C934" s="45"/>
      <c r="D934" s="45"/>
      <c r="E934" s="45"/>
      <c r="F934" s="45"/>
    </row>
    <row r="935" spans="1:6" ht="14.25" customHeight="1" x14ac:dyDescent="0.3">
      <c r="A935" s="48"/>
      <c r="B935" s="45"/>
      <c r="C935" s="45"/>
      <c r="D935" s="45"/>
      <c r="E935" s="45"/>
      <c r="F935" s="45"/>
    </row>
    <row r="936" spans="1:6" ht="14.25" customHeight="1" x14ac:dyDescent="0.3">
      <c r="A936" s="48"/>
      <c r="B936" s="45"/>
      <c r="C936" s="45"/>
      <c r="D936" s="45"/>
      <c r="E936" s="45"/>
      <c r="F936" s="45"/>
    </row>
    <row r="937" spans="1:6" ht="14.25" customHeight="1" x14ac:dyDescent="0.3">
      <c r="A937" s="48"/>
      <c r="B937" s="45"/>
      <c r="C937" s="45"/>
      <c r="D937" s="45"/>
      <c r="E937" s="45"/>
      <c r="F937" s="45"/>
    </row>
    <row r="938" spans="1:6" ht="14.25" customHeight="1" x14ac:dyDescent="0.3">
      <c r="A938" s="48"/>
      <c r="B938" s="45"/>
      <c r="C938" s="45"/>
      <c r="D938" s="45"/>
      <c r="E938" s="45"/>
      <c r="F938" s="45"/>
    </row>
    <row r="939" spans="1:6" ht="14.25" customHeight="1" x14ac:dyDescent="0.3">
      <c r="A939" s="48"/>
      <c r="B939" s="45"/>
      <c r="C939" s="45"/>
      <c r="D939" s="45"/>
      <c r="E939" s="45"/>
      <c r="F939" s="45"/>
    </row>
    <row r="940" spans="1:6" ht="14.25" customHeight="1" x14ac:dyDescent="0.3">
      <c r="A940" s="48"/>
      <c r="B940" s="45"/>
      <c r="C940" s="45"/>
      <c r="D940" s="45"/>
      <c r="E940" s="45"/>
      <c r="F940" s="45"/>
    </row>
    <row r="941" spans="1:6" ht="14.25" customHeight="1" x14ac:dyDescent="0.3">
      <c r="A941" s="48"/>
      <c r="B941" s="45"/>
      <c r="C941" s="45"/>
      <c r="D941" s="45"/>
      <c r="E941" s="45"/>
      <c r="F941" s="45"/>
    </row>
    <row r="942" spans="1:6" ht="14.25" customHeight="1" x14ac:dyDescent="0.3">
      <c r="A942" s="48"/>
      <c r="B942" s="45"/>
      <c r="C942" s="45"/>
      <c r="D942" s="45"/>
      <c r="E942" s="45"/>
      <c r="F942" s="45"/>
    </row>
    <row r="943" spans="1:6" ht="14.25" customHeight="1" x14ac:dyDescent="0.3">
      <c r="A943" s="48"/>
      <c r="B943" s="45"/>
      <c r="C943" s="45"/>
      <c r="D943" s="45"/>
      <c r="E943" s="45"/>
      <c r="F943" s="45"/>
    </row>
    <row r="944" spans="1:6" ht="14.25" customHeight="1" x14ac:dyDescent="0.3">
      <c r="A944" s="48"/>
      <c r="B944" s="45"/>
      <c r="C944" s="45"/>
      <c r="D944" s="45"/>
      <c r="E944" s="45"/>
      <c r="F944" s="45"/>
    </row>
    <row r="945" spans="1:6" ht="14.25" customHeight="1" x14ac:dyDescent="0.3">
      <c r="A945" s="48"/>
      <c r="B945" s="45"/>
      <c r="C945" s="45"/>
      <c r="D945" s="45"/>
      <c r="E945" s="45"/>
      <c r="F945" s="45"/>
    </row>
    <row r="946" spans="1:6" ht="14.25" customHeight="1" x14ac:dyDescent="0.3">
      <c r="A946" s="48"/>
      <c r="B946" s="45"/>
      <c r="C946" s="45"/>
      <c r="D946" s="45"/>
      <c r="E946" s="45"/>
      <c r="F946" s="45"/>
    </row>
    <row r="947" spans="1:6" ht="14.25" customHeight="1" x14ac:dyDescent="0.3">
      <c r="A947" s="48"/>
      <c r="B947" s="45"/>
      <c r="C947" s="45"/>
      <c r="D947" s="45"/>
      <c r="E947" s="45"/>
      <c r="F947" s="45"/>
    </row>
    <row r="948" spans="1:6" ht="14.25" customHeight="1" x14ac:dyDescent="0.3">
      <c r="A948" s="48"/>
      <c r="B948" s="45"/>
      <c r="C948" s="45"/>
      <c r="D948" s="45"/>
      <c r="E948" s="45"/>
      <c r="F948" s="45"/>
    </row>
    <row r="949" spans="1:6" ht="14.25" customHeight="1" x14ac:dyDescent="0.3">
      <c r="A949" s="48"/>
      <c r="B949" s="45"/>
      <c r="C949" s="45"/>
      <c r="D949" s="45"/>
      <c r="E949" s="45"/>
      <c r="F949" s="45"/>
    </row>
    <row r="950" spans="1:6" ht="14.25" customHeight="1" x14ac:dyDescent="0.3">
      <c r="A950" s="48"/>
      <c r="B950" s="45"/>
      <c r="C950" s="45"/>
      <c r="D950" s="45"/>
      <c r="E950" s="45"/>
      <c r="F950" s="45"/>
    </row>
    <row r="951" spans="1:6" ht="14.25" customHeight="1" x14ac:dyDescent="0.3">
      <c r="A951" s="48"/>
      <c r="B951" s="45"/>
      <c r="C951" s="45"/>
      <c r="D951" s="45"/>
      <c r="E951" s="45"/>
      <c r="F951" s="45"/>
    </row>
    <row r="952" spans="1:6" ht="14.25" customHeight="1" x14ac:dyDescent="0.3">
      <c r="A952" s="48"/>
      <c r="B952" s="45"/>
      <c r="C952" s="45"/>
      <c r="D952" s="45"/>
      <c r="E952" s="45"/>
      <c r="F952" s="45"/>
    </row>
    <row r="953" spans="1:6" ht="14.25" customHeight="1" x14ac:dyDescent="0.3">
      <c r="A953" s="48"/>
      <c r="B953" s="45"/>
      <c r="C953" s="45"/>
      <c r="D953" s="45"/>
      <c r="E953" s="45"/>
      <c r="F953" s="45"/>
    </row>
    <row r="954" spans="1:6" ht="14.25" customHeight="1" x14ac:dyDescent="0.3">
      <c r="A954" s="48"/>
      <c r="B954" s="45"/>
      <c r="C954" s="45"/>
      <c r="D954" s="45"/>
      <c r="E954" s="45"/>
      <c r="F954" s="45"/>
    </row>
    <row r="955" spans="1:6" ht="14.25" customHeight="1" x14ac:dyDescent="0.3">
      <c r="A955" s="48"/>
      <c r="B955" s="45"/>
      <c r="C955" s="45"/>
      <c r="D955" s="45"/>
      <c r="E955" s="45"/>
      <c r="F955" s="45"/>
    </row>
    <row r="956" spans="1:6" ht="14.25" customHeight="1" x14ac:dyDescent="0.3">
      <c r="A956" s="48"/>
      <c r="B956" s="45"/>
      <c r="C956" s="45"/>
      <c r="D956" s="45"/>
      <c r="E956" s="45"/>
      <c r="F956" s="45"/>
    </row>
    <row r="957" spans="1:6" ht="14.25" customHeight="1" x14ac:dyDescent="0.3">
      <c r="A957" s="48"/>
      <c r="B957" s="45"/>
      <c r="C957" s="45"/>
      <c r="D957" s="45"/>
      <c r="E957" s="45"/>
      <c r="F957" s="45"/>
    </row>
    <row r="958" spans="1:6" ht="14.25" customHeight="1" x14ac:dyDescent="0.3">
      <c r="A958" s="48"/>
      <c r="B958" s="45"/>
      <c r="C958" s="45"/>
      <c r="D958" s="45"/>
      <c r="E958" s="45"/>
      <c r="F958" s="45"/>
    </row>
    <row r="959" spans="1:6" ht="14.25" customHeight="1" x14ac:dyDescent="0.3">
      <c r="A959" s="48"/>
      <c r="B959" s="45"/>
      <c r="C959" s="45"/>
      <c r="D959" s="45"/>
      <c r="E959" s="45"/>
      <c r="F959" s="45"/>
    </row>
    <row r="960" spans="1:6" ht="14.25" customHeight="1" x14ac:dyDescent="0.3">
      <c r="A960" s="48"/>
      <c r="B960" s="45"/>
      <c r="C960" s="45"/>
      <c r="D960" s="45"/>
      <c r="E960" s="45"/>
      <c r="F960" s="45"/>
    </row>
    <row r="961" spans="1:6" ht="14.25" customHeight="1" x14ac:dyDescent="0.3">
      <c r="A961" s="48"/>
      <c r="B961" s="45"/>
      <c r="C961" s="45"/>
      <c r="D961" s="45"/>
      <c r="E961" s="45"/>
      <c r="F961" s="45"/>
    </row>
    <row r="962" spans="1:6" ht="14.25" customHeight="1" x14ac:dyDescent="0.3">
      <c r="A962" s="48"/>
      <c r="B962" s="45"/>
      <c r="C962" s="45"/>
      <c r="D962" s="45"/>
      <c r="E962" s="45"/>
      <c r="F962" s="45"/>
    </row>
    <row r="963" spans="1:6" ht="14.25" customHeight="1" x14ac:dyDescent="0.3">
      <c r="A963" s="48"/>
      <c r="B963" s="45"/>
      <c r="C963" s="45"/>
      <c r="D963" s="45"/>
      <c r="E963" s="45"/>
      <c r="F963" s="45"/>
    </row>
    <row r="964" spans="1:6" ht="14.25" customHeight="1" x14ac:dyDescent="0.3">
      <c r="A964" s="48"/>
      <c r="B964" s="45"/>
      <c r="C964" s="45"/>
      <c r="D964" s="45"/>
      <c r="E964" s="45"/>
      <c r="F964" s="45"/>
    </row>
    <row r="965" spans="1:6" ht="14.25" customHeight="1" x14ac:dyDescent="0.3">
      <c r="A965" s="48"/>
      <c r="B965" s="45"/>
      <c r="C965" s="45"/>
      <c r="D965" s="45"/>
      <c r="E965" s="45"/>
      <c r="F965" s="45"/>
    </row>
    <row r="966" spans="1:6" ht="14.25" customHeight="1" x14ac:dyDescent="0.3">
      <c r="A966" s="48"/>
      <c r="B966" s="45"/>
      <c r="C966" s="45"/>
      <c r="D966" s="45"/>
      <c r="E966" s="45"/>
      <c r="F966" s="45"/>
    </row>
    <row r="967" spans="1:6" ht="14.25" customHeight="1" x14ac:dyDescent="0.3">
      <c r="A967" s="48"/>
      <c r="B967" s="45"/>
      <c r="C967" s="45"/>
      <c r="D967" s="45"/>
      <c r="E967" s="45"/>
      <c r="F967" s="45"/>
    </row>
    <row r="968" spans="1:6" ht="14.25" customHeight="1" x14ac:dyDescent="0.3">
      <c r="A968" s="48"/>
      <c r="B968" s="45"/>
      <c r="C968" s="45"/>
      <c r="D968" s="45"/>
      <c r="E968" s="45"/>
      <c r="F968" s="45"/>
    </row>
    <row r="969" spans="1:6" ht="14.25" customHeight="1" x14ac:dyDescent="0.3">
      <c r="A969" s="48"/>
      <c r="B969" s="45"/>
      <c r="C969" s="45"/>
      <c r="D969" s="45"/>
      <c r="E969" s="45"/>
      <c r="F969" s="45"/>
    </row>
    <row r="970" spans="1:6" ht="14.25" customHeight="1" x14ac:dyDescent="0.3">
      <c r="A970" s="48"/>
      <c r="B970" s="45"/>
      <c r="C970" s="45"/>
      <c r="D970" s="45"/>
      <c r="E970" s="45"/>
      <c r="F970" s="45"/>
    </row>
    <row r="971" spans="1:6" ht="14.25" customHeight="1" x14ac:dyDescent="0.3">
      <c r="A971" s="48"/>
      <c r="B971" s="45"/>
      <c r="C971" s="45"/>
      <c r="D971" s="45"/>
      <c r="E971" s="45"/>
      <c r="F971" s="45"/>
    </row>
    <row r="972" spans="1:6" ht="14.25" customHeight="1" x14ac:dyDescent="0.3">
      <c r="A972" s="48"/>
      <c r="B972" s="45"/>
      <c r="C972" s="45"/>
      <c r="D972" s="45"/>
      <c r="E972" s="45"/>
      <c r="F972" s="45"/>
    </row>
    <row r="973" spans="1:6" ht="14.25" customHeight="1" x14ac:dyDescent="0.3">
      <c r="A973" s="48"/>
      <c r="B973" s="45"/>
      <c r="C973" s="45"/>
      <c r="D973" s="45"/>
      <c r="E973" s="45"/>
      <c r="F973" s="45"/>
    </row>
    <row r="974" spans="1:6" ht="14.25" customHeight="1" x14ac:dyDescent="0.3">
      <c r="A974" s="48"/>
      <c r="B974" s="45"/>
      <c r="C974" s="45"/>
      <c r="D974" s="45"/>
      <c r="E974" s="45"/>
      <c r="F974" s="45"/>
    </row>
    <row r="975" spans="1:6" ht="14.25" customHeight="1" x14ac:dyDescent="0.3">
      <c r="A975" s="48"/>
      <c r="B975" s="45"/>
      <c r="C975" s="45"/>
      <c r="D975" s="45"/>
      <c r="E975" s="45"/>
      <c r="F975" s="45"/>
    </row>
    <row r="976" spans="1:6" ht="14.25" customHeight="1" x14ac:dyDescent="0.3">
      <c r="A976" s="48"/>
      <c r="B976" s="45"/>
      <c r="C976" s="45"/>
      <c r="D976" s="45"/>
      <c r="E976" s="45"/>
      <c r="F976" s="45"/>
    </row>
    <row r="977" spans="1:6" ht="14.25" customHeight="1" x14ac:dyDescent="0.3">
      <c r="A977" s="48"/>
      <c r="B977" s="45"/>
      <c r="C977" s="45"/>
      <c r="D977" s="45"/>
      <c r="E977" s="45"/>
      <c r="F977" s="45"/>
    </row>
    <row r="978" spans="1:6" ht="14.25" customHeight="1" x14ac:dyDescent="0.3">
      <c r="A978" s="48"/>
      <c r="B978" s="45"/>
      <c r="C978" s="45"/>
      <c r="D978" s="45"/>
      <c r="E978" s="45"/>
      <c r="F978" s="45"/>
    </row>
    <row r="979" spans="1:6" ht="14.25" customHeight="1" x14ac:dyDescent="0.3">
      <c r="A979" s="48"/>
      <c r="B979" s="45"/>
      <c r="C979" s="45"/>
      <c r="D979" s="45"/>
      <c r="E979" s="45"/>
      <c r="F979" s="45"/>
    </row>
    <row r="980" spans="1:6" ht="14.25" customHeight="1" x14ac:dyDescent="0.3">
      <c r="A980" s="48"/>
      <c r="B980" s="45"/>
      <c r="C980" s="45"/>
      <c r="D980" s="45"/>
      <c r="E980" s="45"/>
      <c r="F980" s="45"/>
    </row>
    <row r="981" spans="1:6" ht="14.25" customHeight="1" x14ac:dyDescent="0.3">
      <c r="A981" s="48"/>
      <c r="B981" s="45"/>
      <c r="C981" s="45"/>
      <c r="D981" s="45"/>
      <c r="E981" s="45"/>
      <c r="F981" s="45"/>
    </row>
    <row r="982" spans="1:6" ht="14.25" customHeight="1" x14ac:dyDescent="0.3">
      <c r="A982" s="48"/>
      <c r="B982" s="45"/>
      <c r="C982" s="45"/>
      <c r="D982" s="45"/>
      <c r="E982" s="45"/>
      <c r="F982" s="45"/>
    </row>
    <row r="983" spans="1:6" ht="14.25" customHeight="1" x14ac:dyDescent="0.3">
      <c r="A983" s="48"/>
      <c r="B983" s="45"/>
      <c r="C983" s="45"/>
      <c r="D983" s="45"/>
      <c r="E983" s="45"/>
      <c r="F983" s="45"/>
    </row>
    <row r="984" spans="1:6" ht="14.25" customHeight="1" x14ac:dyDescent="0.3">
      <c r="A984" s="48"/>
      <c r="B984" s="45"/>
      <c r="C984" s="45"/>
      <c r="D984" s="45"/>
      <c r="E984" s="45"/>
      <c r="F984" s="45"/>
    </row>
    <row r="985" spans="1:6" ht="14.25" customHeight="1" x14ac:dyDescent="0.3">
      <c r="A985" s="48"/>
      <c r="B985" s="45"/>
      <c r="C985" s="45"/>
      <c r="D985" s="45"/>
      <c r="E985" s="45"/>
      <c r="F985" s="45"/>
    </row>
    <row r="986" spans="1:6" ht="14.25" customHeight="1" x14ac:dyDescent="0.3">
      <c r="A986" s="48"/>
      <c r="B986" s="45"/>
      <c r="C986" s="45"/>
      <c r="D986" s="45"/>
      <c r="E986" s="45"/>
      <c r="F986" s="45"/>
    </row>
    <row r="987" spans="1:6" ht="14.25" customHeight="1" x14ac:dyDescent="0.3">
      <c r="A987" s="48"/>
      <c r="B987" s="45"/>
      <c r="C987" s="45"/>
      <c r="D987" s="45"/>
      <c r="E987" s="45"/>
      <c r="F987" s="45"/>
    </row>
    <row r="988" spans="1:6" ht="14.25" customHeight="1" x14ac:dyDescent="0.3">
      <c r="A988" s="48"/>
      <c r="B988" s="45"/>
      <c r="C988" s="45"/>
      <c r="D988" s="45"/>
      <c r="E988" s="45"/>
      <c r="F988" s="45"/>
    </row>
    <row r="989" spans="1:6" ht="14.25" customHeight="1" x14ac:dyDescent="0.3">
      <c r="A989" s="48"/>
      <c r="B989" s="45"/>
      <c r="C989" s="45"/>
      <c r="D989" s="45"/>
      <c r="E989" s="45"/>
      <c r="F989" s="45"/>
    </row>
    <row r="990" spans="1:6" ht="14.25" customHeight="1" x14ac:dyDescent="0.3">
      <c r="A990" s="48"/>
      <c r="B990" s="45"/>
      <c r="C990" s="45"/>
      <c r="D990" s="45"/>
      <c r="E990" s="45"/>
      <c r="F990" s="45"/>
    </row>
    <row r="991" spans="1:6" ht="14.25" customHeight="1" x14ac:dyDescent="0.3">
      <c r="A991" s="48"/>
      <c r="B991" s="45"/>
      <c r="C991" s="45"/>
      <c r="D991" s="45"/>
      <c r="E991" s="45"/>
      <c r="F991" s="45"/>
    </row>
    <row r="992" spans="1:6" ht="14.25" customHeight="1" x14ac:dyDescent="0.3">
      <c r="A992" s="48"/>
      <c r="B992" s="45"/>
      <c r="C992" s="45"/>
      <c r="D992" s="45"/>
      <c r="E992" s="45"/>
      <c r="F992" s="45"/>
    </row>
    <row r="993" spans="1:6" ht="14.25" customHeight="1" x14ac:dyDescent="0.3">
      <c r="A993" s="48"/>
      <c r="B993" s="45"/>
      <c r="C993" s="45"/>
      <c r="D993" s="45"/>
      <c r="E993" s="45"/>
      <c r="F993" s="45"/>
    </row>
    <row r="994" spans="1:6" ht="14.25" customHeight="1" x14ac:dyDescent="0.3">
      <c r="A994" s="48"/>
      <c r="B994" s="45"/>
      <c r="C994" s="45"/>
      <c r="D994" s="45"/>
      <c r="E994" s="45"/>
      <c r="F994" s="45"/>
    </row>
    <row r="995" spans="1:6" ht="14.25" customHeight="1" x14ac:dyDescent="0.3">
      <c r="A995" s="48"/>
      <c r="B995" s="45"/>
      <c r="C995" s="45"/>
      <c r="D995" s="45"/>
      <c r="E995" s="45"/>
      <c r="F995" s="45"/>
    </row>
    <row r="996" spans="1:6" ht="14.25" customHeight="1" x14ac:dyDescent="0.3">
      <c r="A996" s="48"/>
      <c r="B996" s="45"/>
      <c r="C996" s="45"/>
      <c r="D996" s="45"/>
      <c r="E996" s="45"/>
      <c r="F996" s="45"/>
    </row>
    <row r="997" spans="1:6" ht="14.25" customHeight="1" x14ac:dyDescent="0.3">
      <c r="A997" s="48"/>
      <c r="B997" s="45"/>
      <c r="C997" s="45"/>
      <c r="D997" s="45"/>
      <c r="E997" s="45"/>
      <c r="F997" s="45"/>
    </row>
    <row r="998" spans="1:6" ht="14.25" customHeight="1" x14ac:dyDescent="0.3">
      <c r="A998" s="48"/>
      <c r="B998" s="45"/>
      <c r="C998" s="45"/>
      <c r="D998" s="45"/>
      <c r="E998" s="45"/>
      <c r="F998" s="45"/>
    </row>
    <row r="999" spans="1:6" ht="14.25" customHeight="1" x14ac:dyDescent="0.3">
      <c r="A999" s="48"/>
      <c r="B999" s="45"/>
      <c r="C999" s="45"/>
      <c r="D999" s="45"/>
      <c r="E999" s="45"/>
      <c r="F999" s="45"/>
    </row>
    <row r="1000" spans="1:6" ht="14.25" customHeight="1" x14ac:dyDescent="0.3">
      <c r="A1000" s="48"/>
      <c r="B1000" s="45"/>
      <c r="C1000" s="45"/>
      <c r="D1000" s="45"/>
      <c r="E1000" s="45"/>
      <c r="F1000" s="45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" zoomScale="70" workbookViewId="0">
      <selection activeCell="B6" sqref="B6"/>
    </sheetView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200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64"/>
    </row>
    <row r="2" spans="1:26" ht="14.25" customHeight="1" x14ac:dyDescent="0.3">
      <c r="A2" s="6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64"/>
    </row>
    <row r="3" spans="1:26" ht="14.25" customHeight="1" x14ac:dyDescent="0.3">
      <c r="A3" s="47" t="s">
        <v>201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64"/>
    </row>
    <row r="4" spans="1:26" ht="14.25" customHeight="1" x14ac:dyDescent="0.3">
      <c r="A4" s="48" t="s">
        <v>202</v>
      </c>
      <c r="B4" s="66" t="s">
        <v>203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</row>
    <row r="5" spans="1:26" ht="14.25" customHeight="1" x14ac:dyDescent="0.3">
      <c r="A5" s="48" t="s">
        <v>204</v>
      </c>
      <c r="B5" s="67">
        <v>45960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26" ht="14.25" customHeight="1" x14ac:dyDescent="0.3">
      <c r="A6" s="48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64"/>
    </row>
    <row r="7" spans="1:26" ht="14.25" customHeight="1" x14ac:dyDescent="0.3">
      <c r="A7" s="49" t="s">
        <v>190</v>
      </c>
      <c r="B7" s="50" t="s">
        <v>195</v>
      </c>
      <c r="C7" s="50" t="s">
        <v>26</v>
      </c>
      <c r="D7" s="50" t="s">
        <v>33</v>
      </c>
      <c r="E7" s="50" t="s">
        <v>41</v>
      </c>
      <c r="F7" s="50" t="s">
        <v>46</v>
      </c>
      <c r="G7" s="50" t="s">
        <v>53</v>
      </c>
      <c r="H7" s="50" t="s">
        <v>59</v>
      </c>
      <c r="I7" s="50" t="s">
        <v>65</v>
      </c>
      <c r="J7" s="50" t="s">
        <v>73</v>
      </c>
      <c r="K7" s="50" t="s">
        <v>79</v>
      </c>
      <c r="L7" s="50" t="s">
        <v>84</v>
      </c>
      <c r="M7" s="68" t="s">
        <v>205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33.6" customHeight="1" x14ac:dyDescent="0.3">
      <c r="A8" s="69">
        <v>45957</v>
      </c>
      <c r="B8" s="70">
        <f t="shared" ref="B8:B22" si="0">SUM(C8:L8)</f>
        <v>4</v>
      </c>
      <c r="C8" s="71">
        <v>1</v>
      </c>
      <c r="D8" s="71">
        <v>1</v>
      </c>
      <c r="E8" s="71">
        <v>1</v>
      </c>
      <c r="F8" s="71">
        <v>1</v>
      </c>
      <c r="G8" s="71"/>
      <c r="H8" s="71"/>
      <c r="I8" s="71"/>
      <c r="J8" s="71"/>
      <c r="K8" s="71"/>
      <c r="L8" s="71"/>
      <c r="M8" s="72" t="s">
        <v>206</v>
      </c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9">
        <v>45958</v>
      </c>
      <c r="B9" s="73">
        <f t="shared" si="0"/>
        <v>5</v>
      </c>
      <c r="C9" s="19"/>
      <c r="D9" s="19"/>
      <c r="E9" s="19"/>
      <c r="F9" s="19">
        <v>1</v>
      </c>
      <c r="G9" s="19">
        <v>2</v>
      </c>
      <c r="H9" s="19">
        <v>1</v>
      </c>
      <c r="I9" s="19">
        <v>1</v>
      </c>
      <c r="J9" s="19"/>
      <c r="K9" s="19"/>
      <c r="L9" s="19"/>
      <c r="M9" s="80" t="s">
        <v>213</v>
      </c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9">
        <v>45959</v>
      </c>
      <c r="B10" s="73">
        <f t="shared" si="0"/>
        <v>3</v>
      </c>
      <c r="C10" s="19"/>
      <c r="D10" s="19"/>
      <c r="E10" s="19"/>
      <c r="F10" s="19"/>
      <c r="G10" s="19"/>
      <c r="H10" s="19"/>
      <c r="I10" s="19"/>
      <c r="J10" s="19">
        <v>1</v>
      </c>
      <c r="K10" s="19">
        <v>2</v>
      </c>
      <c r="L10" s="19"/>
      <c r="M10" s="80" t="s">
        <v>214</v>
      </c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9">
        <v>45960</v>
      </c>
      <c r="B11" s="73">
        <f t="shared" si="0"/>
        <v>7</v>
      </c>
      <c r="C11" s="19"/>
      <c r="D11" s="19"/>
      <c r="E11" s="19"/>
      <c r="F11" s="19"/>
      <c r="G11" s="19">
        <v>1</v>
      </c>
      <c r="H11" s="19">
        <v>1</v>
      </c>
      <c r="I11" s="19">
        <v>1</v>
      </c>
      <c r="J11" s="19">
        <v>1</v>
      </c>
      <c r="K11" s="19"/>
      <c r="L11" s="19">
        <v>3</v>
      </c>
      <c r="M11" s="80" t="s">
        <v>215</v>
      </c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9">
        <v>45961</v>
      </c>
      <c r="B12" s="73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9">
        <v>45962</v>
      </c>
      <c r="B13" s="73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9">
        <v>45963</v>
      </c>
      <c r="B14" s="73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9">
        <v>45964</v>
      </c>
      <c r="B15" s="73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9">
        <v>45965</v>
      </c>
      <c r="B16" s="73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9">
        <v>45966</v>
      </c>
      <c r="B17" s="73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9">
        <v>45967</v>
      </c>
      <c r="B18" s="73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9">
        <v>45968</v>
      </c>
      <c r="B19" s="73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9">
        <v>45969</v>
      </c>
      <c r="B20" s="73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9">
        <v>45970</v>
      </c>
      <c r="B21" s="73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9">
        <v>45971</v>
      </c>
      <c r="B22" s="73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2" t="s">
        <v>196</v>
      </c>
      <c r="B23" s="53">
        <f t="shared" ref="B23:L23" si="1">SUM(B8:B22)</f>
        <v>19</v>
      </c>
      <c r="C23" s="53">
        <f t="shared" si="1"/>
        <v>1</v>
      </c>
      <c r="D23" s="53">
        <f t="shared" si="1"/>
        <v>1</v>
      </c>
      <c r="E23" s="53">
        <f t="shared" si="1"/>
        <v>1</v>
      </c>
      <c r="F23" s="53">
        <f t="shared" si="1"/>
        <v>2</v>
      </c>
      <c r="G23" s="53">
        <f t="shared" si="1"/>
        <v>3</v>
      </c>
      <c r="H23" s="53">
        <f t="shared" si="1"/>
        <v>2</v>
      </c>
      <c r="I23" s="53">
        <f t="shared" si="1"/>
        <v>2</v>
      </c>
      <c r="J23" s="53">
        <f t="shared" si="1"/>
        <v>2</v>
      </c>
      <c r="K23" s="53">
        <f t="shared" si="1"/>
        <v>2</v>
      </c>
      <c r="L23" s="53">
        <f t="shared" si="1"/>
        <v>3</v>
      </c>
      <c r="M23" s="74"/>
    </row>
    <row r="24" spans="1:26" ht="14.25" customHeight="1" x14ac:dyDescent="0.3">
      <c r="A24" s="54" t="s">
        <v>197</v>
      </c>
      <c r="B24" s="55">
        <f t="shared" ref="B24:L24" si="2">B23</f>
        <v>19</v>
      </c>
      <c r="C24" s="55">
        <f t="shared" si="2"/>
        <v>1</v>
      </c>
      <c r="D24" s="55">
        <f t="shared" si="2"/>
        <v>1</v>
      </c>
      <c r="E24" s="55">
        <f t="shared" si="2"/>
        <v>1</v>
      </c>
      <c r="F24" s="55">
        <f t="shared" si="2"/>
        <v>2</v>
      </c>
      <c r="G24" s="55">
        <f t="shared" si="2"/>
        <v>3</v>
      </c>
      <c r="H24" s="55">
        <f t="shared" si="2"/>
        <v>2</v>
      </c>
      <c r="I24" s="55">
        <f t="shared" si="2"/>
        <v>2</v>
      </c>
      <c r="J24" s="55">
        <f t="shared" si="2"/>
        <v>2</v>
      </c>
      <c r="K24" s="55">
        <f t="shared" si="2"/>
        <v>2</v>
      </c>
      <c r="L24" s="55">
        <f t="shared" si="2"/>
        <v>3</v>
      </c>
      <c r="M24" s="57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4.25" customHeight="1" x14ac:dyDescent="0.3">
      <c r="A25" s="48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64"/>
    </row>
    <row r="26" spans="1:26" ht="14.25" customHeight="1" x14ac:dyDescent="0.3">
      <c r="A26" s="58" t="s">
        <v>198</v>
      </c>
      <c r="B26" s="36" t="s">
        <v>195</v>
      </c>
      <c r="C26" s="36" t="s">
        <v>142</v>
      </c>
      <c r="D26" s="36" t="s">
        <v>144</v>
      </c>
      <c r="E26" s="36" t="s">
        <v>147</v>
      </c>
      <c r="F26" s="36" t="s">
        <v>149</v>
      </c>
      <c r="G26" s="36" t="s">
        <v>152</v>
      </c>
      <c r="H26" s="36" t="s">
        <v>154</v>
      </c>
      <c r="I26" s="36" t="s">
        <v>157</v>
      </c>
      <c r="J26" s="36" t="s">
        <v>159</v>
      </c>
      <c r="K26" s="36" t="s">
        <v>161</v>
      </c>
      <c r="L26" s="36" t="s">
        <v>163</v>
      </c>
      <c r="M26" s="75" t="s">
        <v>205</v>
      </c>
    </row>
    <row r="27" spans="1:26" ht="14.25" customHeight="1" x14ac:dyDescent="0.3">
      <c r="A27" s="51">
        <v>45972</v>
      </c>
      <c r="B27" s="73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1">
        <v>45973</v>
      </c>
      <c r="B28" s="73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1">
        <v>45974</v>
      </c>
      <c r="B29" s="73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1">
        <v>45975</v>
      </c>
      <c r="B30" s="73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1">
        <v>45976</v>
      </c>
      <c r="B31" s="73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1">
        <v>45977</v>
      </c>
      <c r="B32" s="73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1">
        <v>45978</v>
      </c>
      <c r="B33" s="73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1">
        <v>45979</v>
      </c>
      <c r="B34" s="73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1">
        <v>45980</v>
      </c>
      <c r="B35" s="73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1">
        <v>45981</v>
      </c>
      <c r="B36" s="73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1">
        <v>45982</v>
      </c>
      <c r="B37" s="73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1">
        <v>45983</v>
      </c>
      <c r="B38" s="73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1">
        <v>45984</v>
      </c>
      <c r="B39" s="73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1">
        <v>45985</v>
      </c>
      <c r="B40" s="73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1">
        <v>45986</v>
      </c>
      <c r="B41" s="73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9" t="s">
        <v>196</v>
      </c>
      <c r="B42" s="60">
        <f t="shared" ref="B42:L42" si="4">SUM(B27:B41)</f>
        <v>0</v>
      </c>
      <c r="C42" s="60">
        <f t="shared" si="4"/>
        <v>0</v>
      </c>
      <c r="D42" s="60">
        <f t="shared" si="4"/>
        <v>0</v>
      </c>
      <c r="E42" s="60">
        <f t="shared" si="4"/>
        <v>0</v>
      </c>
      <c r="F42" s="60">
        <f t="shared" si="4"/>
        <v>0</v>
      </c>
      <c r="G42" s="60">
        <f t="shared" si="4"/>
        <v>0</v>
      </c>
      <c r="H42" s="60">
        <f t="shared" si="4"/>
        <v>0</v>
      </c>
      <c r="I42" s="60">
        <f t="shared" si="4"/>
        <v>0</v>
      </c>
      <c r="J42" s="60">
        <f t="shared" si="4"/>
        <v>0</v>
      </c>
      <c r="K42" s="60">
        <f t="shared" si="4"/>
        <v>0</v>
      </c>
      <c r="L42" s="60">
        <f t="shared" si="4"/>
        <v>0</v>
      </c>
      <c r="M42" s="76"/>
    </row>
    <row r="43" spans="1:26" ht="14.25" customHeight="1" x14ac:dyDescent="0.3">
      <c r="A43" s="54" t="s">
        <v>197</v>
      </c>
      <c r="B43" s="55">
        <f>B24+B42</f>
        <v>19</v>
      </c>
      <c r="C43" s="55">
        <f t="shared" ref="C43:L43" si="5">SUM(C24,C42)</f>
        <v>1</v>
      </c>
      <c r="D43" s="55">
        <f t="shared" si="5"/>
        <v>1</v>
      </c>
      <c r="E43" s="55">
        <f t="shared" si="5"/>
        <v>1</v>
      </c>
      <c r="F43" s="55">
        <f t="shared" si="5"/>
        <v>2</v>
      </c>
      <c r="G43" s="55">
        <f t="shared" si="5"/>
        <v>3</v>
      </c>
      <c r="H43" s="55">
        <f t="shared" si="5"/>
        <v>2</v>
      </c>
      <c r="I43" s="55">
        <f t="shared" si="5"/>
        <v>2</v>
      </c>
      <c r="J43" s="55">
        <f t="shared" si="5"/>
        <v>2</v>
      </c>
      <c r="K43" s="55">
        <f t="shared" si="5"/>
        <v>2</v>
      </c>
      <c r="L43" s="55">
        <f t="shared" si="5"/>
        <v>3</v>
      </c>
      <c r="M43" s="57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4.25" customHeight="1" x14ac:dyDescent="0.3">
      <c r="A44" s="48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64"/>
    </row>
    <row r="45" spans="1:26" ht="14.25" customHeight="1" x14ac:dyDescent="0.3">
      <c r="A45" s="61" t="s">
        <v>199</v>
      </c>
      <c r="B45" s="44" t="s">
        <v>195</v>
      </c>
      <c r="C45" s="44" t="s">
        <v>167</v>
      </c>
      <c r="D45" s="44" t="s">
        <v>169</v>
      </c>
      <c r="E45" s="44" t="s">
        <v>171</v>
      </c>
      <c r="F45" s="44" t="s">
        <v>173</v>
      </c>
      <c r="G45" s="44" t="s">
        <v>175</v>
      </c>
      <c r="H45" s="44" t="s">
        <v>177</v>
      </c>
      <c r="I45" s="44" t="s">
        <v>179</v>
      </c>
      <c r="J45" s="44" t="s">
        <v>181</v>
      </c>
      <c r="K45" s="44" t="s">
        <v>183</v>
      </c>
      <c r="L45" s="44" t="s">
        <v>185</v>
      </c>
      <c r="M45" s="77" t="s">
        <v>205</v>
      </c>
    </row>
    <row r="46" spans="1:26" ht="14.25" customHeight="1" x14ac:dyDescent="0.3">
      <c r="A46" s="51">
        <v>45987</v>
      </c>
      <c r="B46" s="73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1">
        <v>45988</v>
      </c>
      <c r="B47" s="73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1">
        <v>45989</v>
      </c>
      <c r="B48" s="73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1">
        <v>45990</v>
      </c>
      <c r="B49" s="73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1">
        <v>45991</v>
      </c>
      <c r="B50" s="73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1">
        <v>45992</v>
      </c>
      <c r="B51" s="73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1">
        <v>45993</v>
      </c>
      <c r="B52" s="73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1">
        <v>45994</v>
      </c>
      <c r="B53" s="73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1">
        <v>45995</v>
      </c>
      <c r="B54" s="73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1">
        <v>45996</v>
      </c>
      <c r="B55" s="73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1">
        <v>45997</v>
      </c>
      <c r="B56" s="73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1">
        <v>45998</v>
      </c>
      <c r="B57" s="73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1">
        <v>45999</v>
      </c>
      <c r="B58" s="73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1">
        <v>46000</v>
      </c>
      <c r="B59" s="73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1">
        <v>46001</v>
      </c>
      <c r="B60" s="73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2" t="s">
        <v>196</v>
      </c>
      <c r="B61" s="63">
        <f t="shared" ref="B61:L61" si="7">SUM(B46:B60)</f>
        <v>0</v>
      </c>
      <c r="C61" s="63">
        <f t="shared" si="7"/>
        <v>0</v>
      </c>
      <c r="D61" s="63">
        <f t="shared" si="7"/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8"/>
    </row>
    <row r="62" spans="1:26" ht="14.25" customHeight="1" x14ac:dyDescent="0.3">
      <c r="A62" s="54" t="s">
        <v>197</v>
      </c>
      <c r="B62" s="55">
        <f>B43+B61</f>
        <v>19</v>
      </c>
      <c r="C62" s="55">
        <f t="shared" ref="C62:L62" si="8">SUM(C43,C61)</f>
        <v>1</v>
      </c>
      <c r="D62" s="55">
        <f t="shared" si="8"/>
        <v>1</v>
      </c>
      <c r="E62" s="55">
        <f t="shared" si="8"/>
        <v>1</v>
      </c>
      <c r="F62" s="55">
        <f t="shared" si="8"/>
        <v>2</v>
      </c>
      <c r="G62" s="55">
        <f t="shared" si="8"/>
        <v>3</v>
      </c>
      <c r="H62" s="55">
        <f t="shared" si="8"/>
        <v>2</v>
      </c>
      <c r="I62" s="55">
        <f t="shared" si="8"/>
        <v>2</v>
      </c>
      <c r="J62" s="55">
        <f t="shared" si="8"/>
        <v>2</v>
      </c>
      <c r="K62" s="55">
        <f t="shared" si="8"/>
        <v>2</v>
      </c>
      <c r="L62" s="55">
        <f t="shared" si="8"/>
        <v>3</v>
      </c>
      <c r="M62" s="57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4.25" customHeight="1" x14ac:dyDescent="0.3">
      <c r="A63" s="48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64"/>
    </row>
    <row r="64" spans="1:26" ht="14.25" customHeight="1" x14ac:dyDescent="0.3">
      <c r="A64" s="48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64"/>
    </row>
    <row r="65" spans="1:13" ht="14.25" customHeight="1" x14ac:dyDescent="0.3">
      <c r="A65" s="48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64"/>
    </row>
    <row r="66" spans="1:13" ht="14.25" customHeight="1" x14ac:dyDescent="0.3">
      <c r="A66" s="48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64"/>
    </row>
    <row r="67" spans="1:13" ht="14.25" customHeight="1" x14ac:dyDescent="0.3">
      <c r="A67" s="48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64"/>
    </row>
    <row r="68" spans="1:13" ht="14.25" customHeight="1" x14ac:dyDescent="0.3">
      <c r="A68" s="48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64"/>
    </row>
    <row r="69" spans="1:13" ht="14.25" customHeight="1" x14ac:dyDescent="0.3">
      <c r="A69" s="48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64"/>
    </row>
    <row r="70" spans="1:13" ht="14.25" customHeight="1" x14ac:dyDescent="0.3">
      <c r="A70" s="48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64"/>
    </row>
    <row r="71" spans="1:13" ht="14.25" customHeight="1" x14ac:dyDescent="0.3">
      <c r="A71" s="48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64"/>
    </row>
    <row r="72" spans="1:13" ht="14.25" customHeight="1" x14ac:dyDescent="0.3">
      <c r="A72" s="48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64"/>
    </row>
    <row r="73" spans="1:13" ht="14.25" customHeight="1" x14ac:dyDescent="0.3">
      <c r="A73" s="48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64"/>
    </row>
    <row r="74" spans="1:13" ht="14.25" customHeight="1" x14ac:dyDescent="0.3">
      <c r="A74" s="48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64"/>
    </row>
    <row r="75" spans="1:13" ht="14.25" customHeight="1" x14ac:dyDescent="0.3">
      <c r="A75" s="48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64"/>
    </row>
    <row r="76" spans="1:13" ht="14.25" customHeight="1" x14ac:dyDescent="0.3">
      <c r="A76" s="48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64"/>
    </row>
    <row r="77" spans="1:13" ht="14.25" customHeight="1" x14ac:dyDescent="0.3">
      <c r="A77" s="48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64"/>
    </row>
    <row r="78" spans="1:13" ht="14.25" customHeight="1" x14ac:dyDescent="0.3">
      <c r="A78" s="48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64"/>
    </row>
    <row r="79" spans="1:13" ht="14.25" customHeight="1" x14ac:dyDescent="0.3">
      <c r="A79" s="48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64"/>
    </row>
    <row r="80" spans="1:13" ht="14.25" customHeight="1" x14ac:dyDescent="0.3">
      <c r="A80" s="48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64"/>
    </row>
    <row r="81" spans="1:13" ht="14.25" customHeight="1" x14ac:dyDescent="0.3">
      <c r="A81" s="48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64"/>
    </row>
    <row r="82" spans="1:13" ht="14.25" customHeight="1" x14ac:dyDescent="0.3">
      <c r="A82" s="48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64"/>
    </row>
    <row r="83" spans="1:13" ht="14.25" customHeight="1" x14ac:dyDescent="0.3">
      <c r="A83" s="48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64"/>
    </row>
    <row r="84" spans="1:13" ht="14.25" customHeight="1" x14ac:dyDescent="0.3">
      <c r="A84" s="48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64"/>
    </row>
    <row r="85" spans="1:13" ht="14.25" customHeight="1" x14ac:dyDescent="0.3">
      <c r="A85" s="48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64"/>
    </row>
    <row r="86" spans="1:13" ht="14.25" customHeight="1" x14ac:dyDescent="0.3">
      <c r="A86" s="48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64"/>
    </row>
    <row r="87" spans="1:13" ht="14.25" customHeight="1" x14ac:dyDescent="0.3">
      <c r="A87" s="48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64"/>
    </row>
    <row r="88" spans="1:13" ht="14.25" customHeight="1" x14ac:dyDescent="0.3">
      <c r="A88" s="48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64"/>
    </row>
    <row r="89" spans="1:13" ht="14.25" customHeight="1" x14ac:dyDescent="0.3">
      <c r="A89" s="48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64"/>
    </row>
    <row r="90" spans="1:13" ht="14.25" customHeight="1" x14ac:dyDescent="0.3">
      <c r="A90" s="48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64"/>
    </row>
    <row r="91" spans="1:13" ht="14.25" customHeight="1" x14ac:dyDescent="0.3">
      <c r="A91" s="48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64"/>
    </row>
    <row r="92" spans="1:13" ht="14.25" customHeight="1" x14ac:dyDescent="0.3">
      <c r="A92" s="48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64"/>
    </row>
    <row r="93" spans="1:13" ht="14.25" customHeight="1" x14ac:dyDescent="0.3">
      <c r="A93" s="48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64"/>
    </row>
    <row r="94" spans="1:13" ht="14.25" customHeight="1" x14ac:dyDescent="0.3">
      <c r="A94" s="48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64"/>
    </row>
    <row r="95" spans="1:13" ht="14.25" customHeight="1" x14ac:dyDescent="0.3">
      <c r="A95" s="48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64"/>
    </row>
    <row r="96" spans="1:13" ht="14.25" customHeight="1" x14ac:dyDescent="0.3">
      <c r="A96" s="48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64"/>
    </row>
    <row r="97" spans="1:13" ht="14.25" customHeight="1" x14ac:dyDescent="0.3">
      <c r="A97" s="48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64"/>
    </row>
    <row r="98" spans="1:13" ht="14.25" customHeight="1" x14ac:dyDescent="0.3">
      <c r="A98" s="48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64"/>
    </row>
    <row r="99" spans="1:13" ht="14.25" customHeight="1" x14ac:dyDescent="0.3">
      <c r="A99" s="48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64"/>
    </row>
    <row r="100" spans="1:13" ht="14.25" customHeight="1" x14ac:dyDescent="0.3">
      <c r="A100" s="48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64"/>
    </row>
    <row r="101" spans="1:13" ht="14.25" customHeight="1" x14ac:dyDescent="0.3">
      <c r="A101" s="48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64"/>
    </row>
    <row r="102" spans="1:13" ht="14.25" customHeight="1" x14ac:dyDescent="0.3">
      <c r="A102" s="48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64"/>
    </row>
    <row r="103" spans="1:13" ht="14.25" customHeight="1" x14ac:dyDescent="0.3">
      <c r="A103" s="48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64"/>
    </row>
    <row r="104" spans="1:13" ht="14.25" customHeight="1" x14ac:dyDescent="0.3">
      <c r="A104" s="48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64"/>
    </row>
    <row r="105" spans="1:13" ht="14.25" customHeight="1" x14ac:dyDescent="0.3">
      <c r="A105" s="48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64"/>
    </row>
    <row r="106" spans="1:13" ht="14.25" customHeight="1" x14ac:dyDescent="0.3">
      <c r="A106" s="48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64"/>
    </row>
    <row r="107" spans="1:13" ht="14.25" customHeight="1" x14ac:dyDescent="0.3">
      <c r="A107" s="48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64"/>
    </row>
    <row r="108" spans="1:13" ht="14.25" customHeight="1" x14ac:dyDescent="0.3">
      <c r="A108" s="48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64"/>
    </row>
    <row r="109" spans="1:13" ht="14.25" customHeight="1" x14ac:dyDescent="0.3">
      <c r="A109" s="48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64"/>
    </row>
    <row r="110" spans="1:13" ht="14.25" customHeight="1" x14ac:dyDescent="0.3">
      <c r="A110" s="48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64"/>
    </row>
    <row r="111" spans="1:13" ht="14.25" customHeight="1" x14ac:dyDescent="0.3">
      <c r="A111" s="48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64"/>
    </row>
    <row r="112" spans="1:13" ht="14.25" customHeight="1" x14ac:dyDescent="0.3">
      <c r="A112" s="48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64"/>
    </row>
    <row r="113" spans="1:13" ht="14.25" customHeight="1" x14ac:dyDescent="0.3">
      <c r="A113" s="48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64"/>
    </row>
    <row r="114" spans="1:13" ht="14.25" customHeight="1" x14ac:dyDescent="0.3">
      <c r="A114" s="48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64"/>
    </row>
    <row r="115" spans="1:13" ht="14.25" customHeight="1" x14ac:dyDescent="0.3">
      <c r="A115" s="48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64"/>
    </row>
    <row r="116" spans="1:13" ht="14.25" customHeight="1" x14ac:dyDescent="0.3">
      <c r="A116" s="48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64"/>
    </row>
    <row r="117" spans="1:13" ht="14.25" customHeight="1" x14ac:dyDescent="0.3">
      <c r="A117" s="48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64"/>
    </row>
    <row r="118" spans="1:13" ht="14.25" customHeight="1" x14ac:dyDescent="0.3">
      <c r="A118" s="48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64"/>
    </row>
    <row r="119" spans="1:13" ht="14.25" customHeight="1" x14ac:dyDescent="0.3">
      <c r="A119" s="48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64"/>
    </row>
    <row r="120" spans="1:13" ht="14.25" customHeight="1" x14ac:dyDescent="0.3">
      <c r="A120" s="48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64"/>
    </row>
    <row r="121" spans="1:13" ht="14.25" customHeight="1" x14ac:dyDescent="0.3">
      <c r="A121" s="48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64"/>
    </row>
    <row r="122" spans="1:13" ht="14.25" customHeight="1" x14ac:dyDescent="0.3">
      <c r="A122" s="48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64"/>
    </row>
    <row r="123" spans="1:13" ht="14.25" customHeight="1" x14ac:dyDescent="0.3">
      <c r="A123" s="48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64"/>
    </row>
    <row r="124" spans="1:13" ht="14.25" customHeight="1" x14ac:dyDescent="0.3">
      <c r="A124" s="48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64"/>
    </row>
    <row r="125" spans="1:13" ht="14.25" customHeight="1" x14ac:dyDescent="0.3">
      <c r="A125" s="48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64"/>
    </row>
    <row r="126" spans="1:13" ht="14.25" customHeight="1" x14ac:dyDescent="0.3">
      <c r="A126" s="48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64"/>
    </row>
    <row r="127" spans="1:13" ht="14.25" customHeight="1" x14ac:dyDescent="0.3">
      <c r="A127" s="48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64"/>
    </row>
    <row r="128" spans="1:13" ht="14.25" customHeight="1" x14ac:dyDescent="0.3">
      <c r="A128" s="48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64"/>
    </row>
    <row r="129" spans="1:13" ht="14.25" customHeight="1" x14ac:dyDescent="0.3">
      <c r="A129" s="48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64"/>
    </row>
    <row r="130" spans="1:13" ht="14.25" customHeight="1" x14ac:dyDescent="0.3">
      <c r="A130" s="48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64"/>
    </row>
    <row r="131" spans="1:13" ht="14.25" customHeight="1" x14ac:dyDescent="0.3">
      <c r="A131" s="48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64"/>
    </row>
    <row r="132" spans="1:13" ht="14.25" customHeight="1" x14ac:dyDescent="0.3">
      <c r="A132" s="48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64"/>
    </row>
    <row r="133" spans="1:13" ht="14.25" customHeight="1" x14ac:dyDescent="0.3">
      <c r="A133" s="48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64"/>
    </row>
    <row r="134" spans="1:13" ht="14.25" customHeight="1" x14ac:dyDescent="0.3">
      <c r="A134" s="48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64"/>
    </row>
    <row r="135" spans="1:13" ht="14.25" customHeight="1" x14ac:dyDescent="0.3">
      <c r="A135" s="48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64"/>
    </row>
    <row r="136" spans="1:13" ht="14.25" customHeight="1" x14ac:dyDescent="0.3">
      <c r="A136" s="48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64"/>
    </row>
    <row r="137" spans="1:13" ht="14.25" customHeight="1" x14ac:dyDescent="0.3">
      <c r="A137" s="48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64"/>
    </row>
    <row r="138" spans="1:13" ht="14.25" customHeight="1" x14ac:dyDescent="0.3">
      <c r="A138" s="48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64"/>
    </row>
    <row r="139" spans="1:13" ht="14.25" customHeight="1" x14ac:dyDescent="0.3">
      <c r="A139" s="48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64"/>
    </row>
    <row r="140" spans="1:13" ht="14.25" customHeight="1" x14ac:dyDescent="0.3">
      <c r="A140" s="48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64"/>
    </row>
    <row r="141" spans="1:13" ht="14.25" customHeight="1" x14ac:dyDescent="0.3">
      <c r="A141" s="48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64"/>
    </row>
    <row r="142" spans="1:13" ht="14.25" customHeight="1" x14ac:dyDescent="0.3">
      <c r="A142" s="48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64"/>
    </row>
    <row r="143" spans="1:13" ht="14.25" customHeight="1" x14ac:dyDescent="0.3">
      <c r="A143" s="48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64"/>
    </row>
    <row r="144" spans="1:13" ht="14.25" customHeight="1" x14ac:dyDescent="0.3">
      <c r="A144" s="48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64"/>
    </row>
    <row r="145" spans="1:13" ht="14.25" customHeight="1" x14ac:dyDescent="0.3">
      <c r="A145" s="48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64"/>
    </row>
    <row r="146" spans="1:13" ht="14.25" customHeight="1" x14ac:dyDescent="0.3">
      <c r="A146" s="48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64"/>
    </row>
    <row r="147" spans="1:13" ht="14.25" customHeight="1" x14ac:dyDescent="0.3">
      <c r="A147" s="48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64"/>
    </row>
    <row r="148" spans="1:13" ht="14.25" customHeight="1" x14ac:dyDescent="0.3">
      <c r="A148" s="48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64"/>
    </row>
    <row r="149" spans="1:13" ht="14.25" customHeight="1" x14ac:dyDescent="0.3">
      <c r="A149" s="48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64"/>
    </row>
    <row r="150" spans="1:13" ht="14.25" customHeight="1" x14ac:dyDescent="0.3">
      <c r="A150" s="48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64"/>
    </row>
    <row r="151" spans="1:13" ht="14.25" customHeight="1" x14ac:dyDescent="0.3">
      <c r="A151" s="48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64"/>
    </row>
    <row r="152" spans="1:13" ht="14.25" customHeight="1" x14ac:dyDescent="0.3">
      <c r="A152" s="48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64"/>
    </row>
    <row r="153" spans="1:13" ht="14.25" customHeight="1" x14ac:dyDescent="0.3">
      <c r="A153" s="48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64"/>
    </row>
    <row r="154" spans="1:13" ht="14.25" customHeight="1" x14ac:dyDescent="0.3">
      <c r="A154" s="48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64"/>
    </row>
    <row r="155" spans="1:13" ht="14.25" customHeight="1" x14ac:dyDescent="0.3">
      <c r="A155" s="48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64"/>
    </row>
    <row r="156" spans="1:13" ht="14.25" customHeight="1" x14ac:dyDescent="0.3">
      <c r="A156" s="48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64"/>
    </row>
    <row r="157" spans="1:13" ht="14.25" customHeight="1" x14ac:dyDescent="0.3">
      <c r="A157" s="48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64"/>
    </row>
    <row r="158" spans="1:13" ht="14.25" customHeight="1" x14ac:dyDescent="0.3">
      <c r="A158" s="48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64"/>
    </row>
    <row r="159" spans="1:13" ht="14.25" customHeight="1" x14ac:dyDescent="0.3">
      <c r="A159" s="48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64"/>
    </row>
    <row r="160" spans="1:13" ht="14.25" customHeight="1" x14ac:dyDescent="0.3">
      <c r="A160" s="48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64"/>
    </row>
    <row r="161" spans="1:13" ht="14.25" customHeight="1" x14ac:dyDescent="0.3">
      <c r="A161" s="48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64"/>
    </row>
    <row r="162" spans="1:13" ht="14.25" customHeight="1" x14ac:dyDescent="0.3">
      <c r="A162" s="48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64"/>
    </row>
    <row r="163" spans="1:13" ht="14.25" customHeight="1" x14ac:dyDescent="0.3">
      <c r="A163" s="48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64"/>
    </row>
    <row r="164" spans="1:13" ht="14.25" customHeight="1" x14ac:dyDescent="0.3">
      <c r="A164" s="48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64"/>
    </row>
    <row r="165" spans="1:13" ht="14.25" customHeight="1" x14ac:dyDescent="0.3">
      <c r="A165" s="48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64"/>
    </row>
    <row r="166" spans="1:13" ht="14.25" customHeight="1" x14ac:dyDescent="0.3">
      <c r="A166" s="48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64"/>
    </row>
    <row r="167" spans="1:13" ht="14.25" customHeight="1" x14ac:dyDescent="0.3">
      <c r="A167" s="48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64"/>
    </row>
    <row r="168" spans="1:13" ht="14.25" customHeight="1" x14ac:dyDescent="0.3">
      <c r="A168" s="48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64"/>
    </row>
    <row r="169" spans="1:13" ht="14.25" customHeight="1" x14ac:dyDescent="0.3">
      <c r="A169" s="48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64"/>
    </row>
    <row r="170" spans="1:13" ht="14.25" customHeight="1" x14ac:dyDescent="0.3">
      <c r="A170" s="48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64"/>
    </row>
    <row r="171" spans="1:13" ht="14.25" customHeight="1" x14ac:dyDescent="0.3">
      <c r="A171" s="48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64"/>
    </row>
    <row r="172" spans="1:13" ht="14.25" customHeight="1" x14ac:dyDescent="0.3">
      <c r="A172" s="48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64"/>
    </row>
    <row r="173" spans="1:13" ht="14.25" customHeight="1" x14ac:dyDescent="0.3">
      <c r="A173" s="48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64"/>
    </row>
    <row r="174" spans="1:13" ht="14.25" customHeight="1" x14ac:dyDescent="0.3">
      <c r="A174" s="48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64"/>
    </row>
    <row r="175" spans="1:13" ht="14.25" customHeight="1" x14ac:dyDescent="0.3">
      <c r="A175" s="48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64"/>
    </row>
    <row r="176" spans="1:13" ht="14.25" customHeight="1" x14ac:dyDescent="0.3">
      <c r="A176" s="48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64"/>
    </row>
    <row r="177" spans="1:13" ht="14.25" customHeight="1" x14ac:dyDescent="0.3">
      <c r="A177" s="48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64"/>
    </row>
    <row r="178" spans="1:13" ht="14.25" customHeight="1" x14ac:dyDescent="0.3">
      <c r="A178" s="48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64"/>
    </row>
    <row r="179" spans="1:13" ht="14.25" customHeight="1" x14ac:dyDescent="0.3">
      <c r="A179" s="48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64"/>
    </row>
    <row r="180" spans="1:13" ht="14.25" customHeight="1" x14ac:dyDescent="0.3">
      <c r="A180" s="48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64"/>
    </row>
    <row r="181" spans="1:13" ht="14.25" customHeight="1" x14ac:dyDescent="0.3">
      <c r="A181" s="48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64"/>
    </row>
    <row r="182" spans="1:13" ht="14.25" customHeight="1" x14ac:dyDescent="0.3">
      <c r="A182" s="48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64"/>
    </row>
    <row r="183" spans="1:13" ht="14.25" customHeight="1" x14ac:dyDescent="0.3">
      <c r="A183" s="48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64"/>
    </row>
    <row r="184" spans="1:13" ht="14.25" customHeight="1" x14ac:dyDescent="0.3">
      <c r="A184" s="48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64"/>
    </row>
    <row r="185" spans="1:13" ht="14.25" customHeight="1" x14ac:dyDescent="0.3">
      <c r="A185" s="48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64"/>
    </row>
    <row r="186" spans="1:13" ht="14.25" customHeight="1" x14ac:dyDescent="0.3">
      <c r="A186" s="48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64"/>
    </row>
    <row r="187" spans="1:13" ht="14.25" customHeight="1" x14ac:dyDescent="0.3">
      <c r="A187" s="48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64"/>
    </row>
    <row r="188" spans="1:13" ht="14.25" customHeight="1" x14ac:dyDescent="0.3">
      <c r="A188" s="48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64"/>
    </row>
    <row r="189" spans="1:13" ht="14.25" customHeight="1" x14ac:dyDescent="0.3">
      <c r="A189" s="48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64"/>
    </row>
    <row r="190" spans="1:13" ht="14.25" customHeight="1" x14ac:dyDescent="0.3">
      <c r="A190" s="48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64"/>
    </row>
    <row r="191" spans="1:13" ht="14.25" customHeight="1" x14ac:dyDescent="0.3">
      <c r="A191" s="48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64"/>
    </row>
    <row r="192" spans="1:13" ht="14.25" customHeight="1" x14ac:dyDescent="0.3">
      <c r="A192" s="48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64"/>
    </row>
    <row r="193" spans="1:13" ht="14.25" customHeight="1" x14ac:dyDescent="0.3">
      <c r="A193" s="48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64"/>
    </row>
    <row r="194" spans="1:13" ht="14.25" customHeight="1" x14ac:dyDescent="0.3">
      <c r="A194" s="48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64"/>
    </row>
    <row r="195" spans="1:13" ht="14.25" customHeight="1" x14ac:dyDescent="0.3">
      <c r="A195" s="48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64"/>
    </row>
    <row r="196" spans="1:13" ht="14.25" customHeight="1" x14ac:dyDescent="0.3">
      <c r="A196" s="48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64"/>
    </row>
    <row r="197" spans="1:13" ht="14.25" customHeight="1" x14ac:dyDescent="0.3">
      <c r="A197" s="48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64"/>
    </row>
    <row r="198" spans="1:13" ht="14.25" customHeight="1" x14ac:dyDescent="0.3">
      <c r="A198" s="48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64"/>
    </row>
    <row r="199" spans="1:13" ht="14.25" customHeight="1" x14ac:dyDescent="0.3">
      <c r="A199" s="48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64"/>
    </row>
    <row r="200" spans="1:13" ht="14.25" customHeight="1" x14ac:dyDescent="0.3">
      <c r="A200" s="48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64"/>
    </row>
    <row r="201" spans="1:13" ht="14.25" customHeight="1" x14ac:dyDescent="0.3">
      <c r="A201" s="48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64"/>
    </row>
    <row r="202" spans="1:13" ht="14.25" customHeight="1" x14ac:dyDescent="0.3">
      <c r="A202" s="48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64"/>
    </row>
    <row r="203" spans="1:13" ht="14.25" customHeight="1" x14ac:dyDescent="0.3">
      <c r="A203" s="48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64"/>
    </row>
    <row r="204" spans="1:13" ht="14.25" customHeight="1" x14ac:dyDescent="0.3">
      <c r="A204" s="48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64"/>
    </row>
    <row r="205" spans="1:13" ht="14.25" customHeight="1" x14ac:dyDescent="0.3">
      <c r="A205" s="48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64"/>
    </row>
    <row r="206" spans="1:13" ht="14.25" customHeight="1" x14ac:dyDescent="0.3">
      <c r="A206" s="48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64"/>
    </row>
    <row r="207" spans="1:13" ht="14.25" customHeight="1" x14ac:dyDescent="0.3">
      <c r="A207" s="48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64"/>
    </row>
    <row r="208" spans="1:13" ht="14.25" customHeight="1" x14ac:dyDescent="0.3">
      <c r="A208" s="48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64"/>
    </row>
    <row r="209" spans="1:13" ht="14.25" customHeight="1" x14ac:dyDescent="0.3">
      <c r="A209" s="48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64"/>
    </row>
    <row r="210" spans="1:13" ht="14.25" customHeight="1" x14ac:dyDescent="0.3">
      <c r="A210" s="48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64"/>
    </row>
    <row r="211" spans="1:13" ht="14.25" customHeight="1" x14ac:dyDescent="0.3">
      <c r="A211" s="48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64"/>
    </row>
    <row r="212" spans="1:13" ht="14.25" customHeight="1" x14ac:dyDescent="0.3">
      <c r="A212" s="48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64"/>
    </row>
    <row r="213" spans="1:13" ht="14.25" customHeight="1" x14ac:dyDescent="0.3">
      <c r="A213" s="48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64"/>
    </row>
    <row r="214" spans="1:13" ht="14.25" customHeight="1" x14ac:dyDescent="0.3">
      <c r="A214" s="48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64"/>
    </row>
    <row r="215" spans="1:13" ht="14.25" customHeight="1" x14ac:dyDescent="0.3">
      <c r="A215" s="48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64"/>
    </row>
    <row r="216" spans="1:13" ht="14.25" customHeight="1" x14ac:dyDescent="0.3">
      <c r="A216" s="48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64"/>
    </row>
    <row r="217" spans="1:13" ht="14.25" customHeight="1" x14ac:dyDescent="0.3">
      <c r="A217" s="48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64"/>
    </row>
    <row r="218" spans="1:13" ht="14.25" customHeight="1" x14ac:dyDescent="0.3">
      <c r="A218" s="48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64"/>
    </row>
    <row r="219" spans="1:13" ht="14.25" customHeight="1" x14ac:dyDescent="0.3">
      <c r="A219" s="48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64"/>
    </row>
    <row r="220" spans="1:13" ht="14.25" customHeight="1" x14ac:dyDescent="0.3">
      <c r="A220" s="48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64"/>
    </row>
    <row r="221" spans="1:13" ht="14.25" customHeight="1" x14ac:dyDescent="0.3">
      <c r="A221" s="48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64"/>
    </row>
    <row r="222" spans="1:13" ht="14.25" customHeight="1" x14ac:dyDescent="0.3">
      <c r="A222" s="48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64"/>
    </row>
    <row r="223" spans="1:13" ht="14.25" customHeight="1" x14ac:dyDescent="0.3">
      <c r="A223" s="48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64"/>
    </row>
    <row r="224" spans="1:13" ht="14.25" customHeight="1" x14ac:dyDescent="0.3">
      <c r="A224" s="48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64"/>
    </row>
    <row r="225" spans="1:13" ht="14.25" customHeight="1" x14ac:dyDescent="0.3">
      <c r="A225" s="48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64"/>
    </row>
    <row r="226" spans="1:13" ht="14.25" customHeight="1" x14ac:dyDescent="0.3">
      <c r="A226" s="48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64"/>
    </row>
    <row r="227" spans="1:13" ht="14.25" customHeight="1" x14ac:dyDescent="0.3">
      <c r="A227" s="48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64"/>
    </row>
    <row r="228" spans="1:13" ht="14.25" customHeight="1" x14ac:dyDescent="0.3">
      <c r="A228" s="48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64"/>
    </row>
    <row r="229" spans="1:13" ht="14.25" customHeight="1" x14ac:dyDescent="0.3">
      <c r="A229" s="48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64"/>
    </row>
    <row r="230" spans="1:13" ht="14.25" customHeight="1" x14ac:dyDescent="0.3">
      <c r="A230" s="48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64"/>
    </row>
    <row r="231" spans="1:13" ht="14.25" customHeight="1" x14ac:dyDescent="0.3">
      <c r="A231" s="48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64"/>
    </row>
    <row r="232" spans="1:13" ht="14.25" customHeight="1" x14ac:dyDescent="0.3">
      <c r="A232" s="48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64"/>
    </row>
    <row r="233" spans="1:13" ht="14.25" customHeight="1" x14ac:dyDescent="0.3">
      <c r="A233" s="48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64"/>
    </row>
    <row r="234" spans="1:13" ht="14.25" customHeight="1" x14ac:dyDescent="0.3">
      <c r="A234" s="48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64"/>
    </row>
    <row r="235" spans="1:13" ht="14.25" customHeight="1" x14ac:dyDescent="0.3">
      <c r="A235" s="48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64"/>
    </row>
    <row r="236" spans="1:13" ht="14.25" customHeight="1" x14ac:dyDescent="0.3">
      <c r="A236" s="48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64"/>
    </row>
    <row r="237" spans="1:13" ht="14.25" customHeight="1" x14ac:dyDescent="0.3">
      <c r="A237" s="48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64"/>
    </row>
    <row r="238" spans="1:13" ht="14.25" customHeight="1" x14ac:dyDescent="0.3">
      <c r="A238" s="48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64"/>
    </row>
    <row r="239" spans="1:13" ht="14.25" customHeight="1" x14ac:dyDescent="0.3">
      <c r="A239" s="48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64"/>
    </row>
    <row r="240" spans="1:13" ht="14.25" customHeight="1" x14ac:dyDescent="0.3">
      <c r="A240" s="48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64"/>
    </row>
    <row r="241" spans="1:13" ht="14.25" customHeight="1" x14ac:dyDescent="0.3">
      <c r="A241" s="48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64"/>
    </row>
    <row r="242" spans="1:13" ht="14.25" customHeight="1" x14ac:dyDescent="0.3">
      <c r="A242" s="48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64"/>
    </row>
    <row r="243" spans="1:13" ht="14.25" customHeight="1" x14ac:dyDescent="0.3">
      <c r="A243" s="48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64"/>
    </row>
    <row r="244" spans="1:13" ht="14.25" customHeight="1" x14ac:dyDescent="0.3">
      <c r="A244" s="48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64"/>
    </row>
    <row r="245" spans="1:13" ht="14.25" customHeight="1" x14ac:dyDescent="0.3">
      <c r="A245" s="48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64"/>
    </row>
    <row r="246" spans="1:13" ht="14.25" customHeight="1" x14ac:dyDescent="0.3">
      <c r="A246" s="48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64"/>
    </row>
    <row r="247" spans="1:13" ht="14.25" customHeight="1" x14ac:dyDescent="0.3">
      <c r="A247" s="48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64"/>
    </row>
    <row r="248" spans="1:13" ht="14.25" customHeight="1" x14ac:dyDescent="0.3">
      <c r="A248" s="48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64"/>
    </row>
    <row r="249" spans="1:13" ht="14.25" customHeight="1" x14ac:dyDescent="0.3">
      <c r="A249" s="48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64"/>
    </row>
    <row r="250" spans="1:13" ht="14.25" customHeight="1" x14ac:dyDescent="0.3">
      <c r="A250" s="48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64"/>
    </row>
    <row r="251" spans="1:13" ht="14.25" customHeight="1" x14ac:dyDescent="0.3">
      <c r="A251" s="48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64"/>
    </row>
    <row r="252" spans="1:13" ht="14.25" customHeight="1" x14ac:dyDescent="0.3">
      <c r="A252" s="48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64"/>
    </row>
    <row r="253" spans="1:13" ht="14.25" customHeight="1" x14ac:dyDescent="0.3">
      <c r="A253" s="48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64"/>
    </row>
    <row r="254" spans="1:13" ht="14.25" customHeight="1" x14ac:dyDescent="0.3">
      <c r="A254" s="48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64"/>
    </row>
    <row r="255" spans="1:13" ht="14.25" customHeight="1" x14ac:dyDescent="0.3">
      <c r="A255" s="48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64"/>
    </row>
    <row r="256" spans="1:13" ht="14.25" customHeight="1" x14ac:dyDescent="0.3">
      <c r="A256" s="48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64"/>
    </row>
    <row r="257" spans="1:13" ht="14.25" customHeight="1" x14ac:dyDescent="0.3">
      <c r="A257" s="48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64"/>
    </row>
    <row r="258" spans="1:13" ht="14.25" customHeight="1" x14ac:dyDescent="0.3">
      <c r="A258" s="48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64"/>
    </row>
    <row r="259" spans="1:13" ht="14.25" customHeight="1" x14ac:dyDescent="0.3">
      <c r="A259" s="48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64"/>
    </row>
    <row r="260" spans="1:13" ht="14.25" customHeight="1" x14ac:dyDescent="0.3">
      <c r="A260" s="48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64"/>
    </row>
    <row r="261" spans="1:13" ht="14.25" customHeight="1" x14ac:dyDescent="0.3">
      <c r="A261" s="48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64"/>
    </row>
    <row r="262" spans="1:13" ht="14.25" customHeight="1" x14ac:dyDescent="0.3">
      <c r="A262" s="48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64"/>
    </row>
    <row r="263" spans="1:13" ht="14.25" customHeight="1" x14ac:dyDescent="0.3">
      <c r="A263" s="48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64"/>
    </row>
    <row r="264" spans="1:13" ht="14.25" customHeight="1" x14ac:dyDescent="0.3">
      <c r="A264" s="48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64"/>
    </row>
    <row r="265" spans="1:13" ht="14.25" customHeight="1" x14ac:dyDescent="0.3">
      <c r="A265" s="48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64"/>
    </row>
    <row r="266" spans="1:13" ht="14.25" customHeight="1" x14ac:dyDescent="0.3">
      <c r="A266" s="48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64"/>
    </row>
    <row r="267" spans="1:13" ht="14.25" customHeight="1" x14ac:dyDescent="0.3">
      <c r="A267" s="48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64"/>
    </row>
    <row r="268" spans="1:13" ht="14.25" customHeight="1" x14ac:dyDescent="0.3">
      <c r="A268" s="48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64"/>
    </row>
    <row r="269" spans="1:13" ht="14.25" customHeight="1" x14ac:dyDescent="0.3">
      <c r="A269" s="48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64"/>
    </row>
    <row r="270" spans="1:13" ht="14.25" customHeight="1" x14ac:dyDescent="0.3">
      <c r="A270" s="48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64"/>
    </row>
    <row r="271" spans="1:13" ht="14.25" customHeight="1" x14ac:dyDescent="0.3">
      <c r="A271" s="48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64"/>
    </row>
    <row r="272" spans="1:13" ht="14.25" customHeight="1" x14ac:dyDescent="0.3">
      <c r="A272" s="48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64"/>
    </row>
    <row r="273" spans="1:13" ht="14.25" customHeight="1" x14ac:dyDescent="0.3">
      <c r="A273" s="48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64"/>
    </row>
    <row r="274" spans="1:13" ht="14.25" customHeight="1" x14ac:dyDescent="0.3">
      <c r="A274" s="48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64"/>
    </row>
    <row r="275" spans="1:13" ht="14.25" customHeight="1" x14ac:dyDescent="0.3">
      <c r="A275" s="48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64"/>
    </row>
    <row r="276" spans="1:13" ht="14.25" customHeight="1" x14ac:dyDescent="0.3">
      <c r="A276" s="48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64"/>
    </row>
    <row r="277" spans="1:13" ht="14.25" customHeight="1" x14ac:dyDescent="0.3">
      <c r="A277" s="48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64"/>
    </row>
    <row r="278" spans="1:13" ht="14.25" customHeight="1" x14ac:dyDescent="0.3">
      <c r="A278" s="48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64"/>
    </row>
    <row r="279" spans="1:13" ht="14.25" customHeight="1" x14ac:dyDescent="0.3">
      <c r="A279" s="48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64"/>
    </row>
    <row r="280" spans="1:13" ht="14.25" customHeight="1" x14ac:dyDescent="0.3">
      <c r="A280" s="48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64"/>
    </row>
    <row r="281" spans="1:13" ht="14.25" customHeight="1" x14ac:dyDescent="0.3">
      <c r="A281" s="48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64"/>
    </row>
    <row r="282" spans="1:13" ht="14.25" customHeight="1" x14ac:dyDescent="0.3">
      <c r="A282" s="48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64"/>
    </row>
    <row r="283" spans="1:13" ht="14.25" customHeight="1" x14ac:dyDescent="0.3">
      <c r="A283" s="48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64"/>
    </row>
    <row r="284" spans="1:13" ht="14.25" customHeight="1" x14ac:dyDescent="0.3">
      <c r="A284" s="48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64"/>
    </row>
    <row r="285" spans="1:13" ht="14.25" customHeight="1" x14ac:dyDescent="0.3">
      <c r="A285" s="48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64"/>
    </row>
    <row r="286" spans="1:13" ht="14.25" customHeight="1" x14ac:dyDescent="0.3">
      <c r="A286" s="48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64"/>
    </row>
    <row r="287" spans="1:13" ht="14.25" customHeight="1" x14ac:dyDescent="0.3">
      <c r="A287" s="48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64"/>
    </row>
    <row r="288" spans="1:13" ht="14.25" customHeight="1" x14ac:dyDescent="0.3">
      <c r="A288" s="48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64"/>
    </row>
    <row r="289" spans="1:13" ht="14.25" customHeight="1" x14ac:dyDescent="0.3">
      <c r="A289" s="48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64"/>
    </row>
    <row r="290" spans="1:13" ht="14.25" customHeight="1" x14ac:dyDescent="0.3">
      <c r="A290" s="48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64"/>
    </row>
    <row r="291" spans="1:13" ht="14.25" customHeight="1" x14ac:dyDescent="0.3">
      <c r="A291" s="48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64"/>
    </row>
    <row r="292" spans="1:13" ht="14.25" customHeight="1" x14ac:dyDescent="0.3">
      <c r="A292" s="48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64"/>
    </row>
    <row r="293" spans="1:13" ht="14.25" customHeight="1" x14ac:dyDescent="0.3">
      <c r="A293" s="48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64"/>
    </row>
    <row r="294" spans="1:13" ht="14.25" customHeight="1" x14ac:dyDescent="0.3">
      <c r="A294" s="48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64"/>
    </row>
    <row r="295" spans="1:13" ht="14.25" customHeight="1" x14ac:dyDescent="0.3">
      <c r="A295" s="48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64"/>
    </row>
    <row r="296" spans="1:13" ht="14.25" customHeight="1" x14ac:dyDescent="0.3">
      <c r="A296" s="48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64"/>
    </row>
    <row r="297" spans="1:13" ht="14.25" customHeight="1" x14ac:dyDescent="0.3">
      <c r="A297" s="48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64"/>
    </row>
    <row r="298" spans="1:13" ht="14.25" customHeight="1" x14ac:dyDescent="0.3">
      <c r="A298" s="48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64"/>
    </row>
    <row r="299" spans="1:13" ht="14.25" customHeight="1" x14ac:dyDescent="0.3">
      <c r="A299" s="48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64"/>
    </row>
    <row r="300" spans="1:13" ht="14.25" customHeight="1" x14ac:dyDescent="0.3">
      <c r="A300" s="48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64"/>
    </row>
    <row r="301" spans="1:13" ht="14.25" customHeight="1" x14ac:dyDescent="0.3">
      <c r="A301" s="48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64"/>
    </row>
    <row r="302" spans="1:13" ht="14.25" customHeight="1" x14ac:dyDescent="0.3">
      <c r="A302" s="48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64"/>
    </row>
    <row r="303" spans="1:13" ht="14.25" customHeight="1" x14ac:dyDescent="0.3">
      <c r="A303" s="48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64"/>
    </row>
    <row r="304" spans="1:13" ht="14.25" customHeight="1" x14ac:dyDescent="0.3">
      <c r="A304" s="48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64"/>
    </row>
    <row r="305" spans="1:13" ht="14.25" customHeight="1" x14ac:dyDescent="0.3">
      <c r="A305" s="48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64"/>
    </row>
    <row r="306" spans="1:13" ht="14.25" customHeight="1" x14ac:dyDescent="0.3">
      <c r="A306" s="48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64"/>
    </row>
    <row r="307" spans="1:13" ht="14.25" customHeight="1" x14ac:dyDescent="0.3">
      <c r="A307" s="48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64"/>
    </row>
    <row r="308" spans="1:13" ht="14.25" customHeight="1" x14ac:dyDescent="0.3">
      <c r="A308" s="48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64"/>
    </row>
    <row r="309" spans="1:13" ht="14.25" customHeight="1" x14ac:dyDescent="0.3">
      <c r="A309" s="48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64"/>
    </row>
    <row r="310" spans="1:13" ht="14.25" customHeight="1" x14ac:dyDescent="0.3">
      <c r="A310" s="48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64"/>
    </row>
    <row r="311" spans="1:13" ht="14.25" customHeight="1" x14ac:dyDescent="0.3">
      <c r="A311" s="48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64"/>
    </row>
    <row r="312" spans="1:13" ht="14.25" customHeight="1" x14ac:dyDescent="0.3">
      <c r="A312" s="48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64"/>
    </row>
    <row r="313" spans="1:13" ht="14.25" customHeight="1" x14ac:dyDescent="0.3">
      <c r="A313" s="48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64"/>
    </row>
    <row r="314" spans="1:13" ht="14.25" customHeight="1" x14ac:dyDescent="0.3">
      <c r="A314" s="48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64"/>
    </row>
    <row r="315" spans="1:13" ht="14.25" customHeight="1" x14ac:dyDescent="0.3">
      <c r="A315" s="48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64"/>
    </row>
    <row r="316" spans="1:13" ht="14.25" customHeight="1" x14ac:dyDescent="0.3">
      <c r="A316" s="48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64"/>
    </row>
    <row r="317" spans="1:13" ht="14.25" customHeight="1" x14ac:dyDescent="0.3">
      <c r="A317" s="48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64"/>
    </row>
    <row r="318" spans="1:13" ht="14.25" customHeight="1" x14ac:dyDescent="0.3">
      <c r="A318" s="48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64"/>
    </row>
    <row r="319" spans="1:13" ht="14.25" customHeight="1" x14ac:dyDescent="0.3">
      <c r="A319" s="48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64"/>
    </row>
    <row r="320" spans="1:13" ht="14.25" customHeight="1" x14ac:dyDescent="0.3">
      <c r="A320" s="48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64"/>
    </row>
    <row r="321" spans="1:13" ht="14.25" customHeight="1" x14ac:dyDescent="0.3">
      <c r="A321" s="48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64"/>
    </row>
    <row r="322" spans="1:13" ht="14.25" customHeight="1" x14ac:dyDescent="0.3">
      <c r="A322" s="48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64"/>
    </row>
    <row r="323" spans="1:13" ht="14.25" customHeight="1" x14ac:dyDescent="0.3">
      <c r="A323" s="48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64"/>
    </row>
    <row r="324" spans="1:13" ht="14.25" customHeight="1" x14ac:dyDescent="0.3">
      <c r="A324" s="48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64"/>
    </row>
    <row r="325" spans="1:13" ht="14.25" customHeight="1" x14ac:dyDescent="0.3">
      <c r="A325" s="48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64"/>
    </row>
    <row r="326" spans="1:13" ht="14.25" customHeight="1" x14ac:dyDescent="0.3">
      <c r="A326" s="48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64"/>
    </row>
    <row r="327" spans="1:13" ht="14.25" customHeight="1" x14ac:dyDescent="0.3">
      <c r="A327" s="48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64"/>
    </row>
    <row r="328" spans="1:13" ht="14.25" customHeight="1" x14ac:dyDescent="0.3">
      <c r="A328" s="48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64"/>
    </row>
    <row r="329" spans="1:13" ht="14.25" customHeight="1" x14ac:dyDescent="0.3">
      <c r="A329" s="48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64"/>
    </row>
    <row r="330" spans="1:13" ht="14.25" customHeight="1" x14ac:dyDescent="0.3">
      <c r="A330" s="48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64"/>
    </row>
    <row r="331" spans="1:13" ht="14.25" customHeight="1" x14ac:dyDescent="0.3">
      <c r="A331" s="48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64"/>
    </row>
    <row r="332" spans="1:13" ht="14.25" customHeight="1" x14ac:dyDescent="0.3">
      <c r="A332" s="48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64"/>
    </row>
    <row r="333" spans="1:13" ht="14.25" customHeight="1" x14ac:dyDescent="0.3">
      <c r="A333" s="48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64"/>
    </row>
    <row r="334" spans="1:13" ht="14.25" customHeight="1" x14ac:dyDescent="0.3">
      <c r="A334" s="48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64"/>
    </row>
    <row r="335" spans="1:13" ht="14.25" customHeight="1" x14ac:dyDescent="0.3">
      <c r="A335" s="48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64"/>
    </row>
    <row r="336" spans="1:13" ht="14.25" customHeight="1" x14ac:dyDescent="0.3">
      <c r="A336" s="48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64"/>
    </row>
    <row r="337" spans="1:13" ht="14.25" customHeight="1" x14ac:dyDescent="0.3">
      <c r="A337" s="48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4"/>
    </row>
    <row r="338" spans="1:13" ht="14.25" customHeight="1" x14ac:dyDescent="0.3">
      <c r="A338" s="48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4"/>
    </row>
    <row r="339" spans="1:13" ht="14.25" customHeight="1" x14ac:dyDescent="0.3">
      <c r="A339" s="48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4"/>
    </row>
    <row r="340" spans="1:13" ht="14.25" customHeight="1" x14ac:dyDescent="0.3">
      <c r="A340" s="48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4"/>
    </row>
    <row r="341" spans="1:13" ht="14.25" customHeight="1" x14ac:dyDescent="0.3">
      <c r="A341" s="48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4"/>
    </row>
    <row r="342" spans="1:13" ht="14.25" customHeight="1" x14ac:dyDescent="0.3">
      <c r="A342" s="48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4"/>
    </row>
    <row r="343" spans="1:13" ht="14.25" customHeight="1" x14ac:dyDescent="0.3">
      <c r="A343" s="48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64"/>
    </row>
    <row r="344" spans="1:13" ht="14.25" customHeight="1" x14ac:dyDescent="0.3">
      <c r="A344" s="48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4"/>
    </row>
    <row r="345" spans="1:13" ht="14.25" customHeight="1" x14ac:dyDescent="0.3">
      <c r="A345" s="48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4"/>
    </row>
    <row r="346" spans="1:13" ht="14.25" customHeight="1" x14ac:dyDescent="0.3">
      <c r="A346" s="48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4"/>
    </row>
    <row r="347" spans="1:13" ht="14.25" customHeight="1" x14ac:dyDescent="0.3">
      <c r="A347" s="48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4"/>
    </row>
    <row r="348" spans="1:13" ht="14.25" customHeight="1" x14ac:dyDescent="0.3">
      <c r="A348" s="48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4"/>
    </row>
    <row r="349" spans="1:13" ht="14.25" customHeight="1" x14ac:dyDescent="0.3">
      <c r="A349" s="48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4"/>
    </row>
    <row r="350" spans="1:13" ht="14.25" customHeight="1" x14ac:dyDescent="0.3">
      <c r="A350" s="48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4"/>
    </row>
    <row r="351" spans="1:13" ht="14.25" customHeight="1" x14ac:dyDescent="0.3">
      <c r="A351" s="48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4"/>
    </row>
    <row r="352" spans="1:13" ht="14.25" customHeight="1" x14ac:dyDescent="0.3">
      <c r="A352" s="48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64"/>
    </row>
    <row r="353" spans="1:13" ht="14.25" customHeight="1" x14ac:dyDescent="0.3">
      <c r="A353" s="48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64"/>
    </row>
    <row r="354" spans="1:13" ht="14.25" customHeight="1" x14ac:dyDescent="0.3">
      <c r="A354" s="48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64"/>
    </row>
    <row r="355" spans="1:13" ht="14.25" customHeight="1" x14ac:dyDescent="0.3">
      <c r="A355" s="48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4"/>
    </row>
    <row r="356" spans="1:13" ht="14.25" customHeight="1" x14ac:dyDescent="0.3">
      <c r="A356" s="48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64"/>
    </row>
    <row r="357" spans="1:13" ht="14.25" customHeight="1" x14ac:dyDescent="0.3">
      <c r="A357" s="48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64"/>
    </row>
    <row r="358" spans="1:13" ht="14.25" customHeight="1" x14ac:dyDescent="0.3">
      <c r="A358" s="48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4"/>
    </row>
    <row r="359" spans="1:13" ht="14.25" customHeight="1" x14ac:dyDescent="0.3">
      <c r="A359" s="48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64"/>
    </row>
    <row r="360" spans="1:13" ht="14.25" customHeight="1" x14ac:dyDescent="0.3">
      <c r="A360" s="48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4"/>
    </row>
    <row r="361" spans="1:13" ht="14.25" customHeight="1" x14ac:dyDescent="0.3">
      <c r="A361" s="48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64"/>
    </row>
    <row r="362" spans="1:13" ht="14.25" customHeight="1" x14ac:dyDescent="0.3">
      <c r="A362" s="48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64"/>
    </row>
    <row r="363" spans="1:13" ht="14.25" customHeight="1" x14ac:dyDescent="0.3">
      <c r="A363" s="48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64"/>
    </row>
    <row r="364" spans="1:13" ht="14.25" customHeight="1" x14ac:dyDescent="0.3">
      <c r="A364" s="48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64"/>
    </row>
    <row r="365" spans="1:13" ht="14.25" customHeight="1" x14ac:dyDescent="0.3">
      <c r="A365" s="48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64"/>
    </row>
    <row r="366" spans="1:13" ht="14.25" customHeight="1" x14ac:dyDescent="0.3">
      <c r="A366" s="48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64"/>
    </row>
    <row r="367" spans="1:13" ht="14.25" customHeight="1" x14ac:dyDescent="0.3">
      <c r="A367" s="48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64"/>
    </row>
    <row r="368" spans="1:13" ht="14.25" customHeight="1" x14ac:dyDescent="0.3">
      <c r="A368" s="48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64"/>
    </row>
    <row r="369" spans="1:13" ht="14.25" customHeight="1" x14ac:dyDescent="0.3">
      <c r="A369" s="48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64"/>
    </row>
    <row r="370" spans="1:13" ht="14.25" customHeight="1" x14ac:dyDescent="0.3">
      <c r="A370" s="48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64"/>
    </row>
    <row r="371" spans="1:13" ht="14.25" customHeight="1" x14ac:dyDescent="0.3">
      <c r="A371" s="48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64"/>
    </row>
    <row r="372" spans="1:13" ht="14.25" customHeight="1" x14ac:dyDescent="0.3">
      <c r="A372" s="48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64"/>
    </row>
    <row r="373" spans="1:13" ht="14.25" customHeight="1" x14ac:dyDescent="0.3">
      <c r="A373" s="48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64"/>
    </row>
    <row r="374" spans="1:13" ht="14.25" customHeight="1" x14ac:dyDescent="0.3">
      <c r="A374" s="48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64"/>
    </row>
    <row r="375" spans="1:13" ht="14.25" customHeight="1" x14ac:dyDescent="0.3">
      <c r="A375" s="48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64"/>
    </row>
    <row r="376" spans="1:13" ht="14.25" customHeight="1" x14ac:dyDescent="0.3">
      <c r="A376" s="48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64"/>
    </row>
    <row r="377" spans="1:13" ht="14.25" customHeight="1" x14ac:dyDescent="0.3">
      <c r="A377" s="48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64"/>
    </row>
    <row r="378" spans="1:13" ht="14.25" customHeight="1" x14ac:dyDescent="0.3">
      <c r="A378" s="48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64"/>
    </row>
    <row r="379" spans="1:13" ht="14.25" customHeight="1" x14ac:dyDescent="0.3">
      <c r="A379" s="48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64"/>
    </row>
    <row r="380" spans="1:13" ht="14.25" customHeight="1" x14ac:dyDescent="0.3">
      <c r="A380" s="48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64"/>
    </row>
    <row r="381" spans="1:13" ht="14.25" customHeight="1" x14ac:dyDescent="0.3">
      <c r="A381" s="48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64"/>
    </row>
    <row r="382" spans="1:13" ht="14.25" customHeight="1" x14ac:dyDescent="0.3">
      <c r="A382" s="48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64"/>
    </row>
    <row r="383" spans="1:13" ht="14.25" customHeight="1" x14ac:dyDescent="0.3">
      <c r="A383" s="48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64"/>
    </row>
    <row r="384" spans="1:13" ht="14.25" customHeight="1" x14ac:dyDescent="0.3">
      <c r="A384" s="48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64"/>
    </row>
    <row r="385" spans="1:13" ht="14.25" customHeight="1" x14ac:dyDescent="0.3">
      <c r="A385" s="48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64"/>
    </row>
    <row r="386" spans="1:13" ht="14.25" customHeight="1" x14ac:dyDescent="0.3">
      <c r="A386" s="48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64"/>
    </row>
    <row r="387" spans="1:13" ht="14.25" customHeight="1" x14ac:dyDescent="0.3">
      <c r="A387" s="48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64"/>
    </row>
    <row r="388" spans="1:13" ht="14.25" customHeight="1" x14ac:dyDescent="0.3">
      <c r="A388" s="48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64"/>
    </row>
    <row r="389" spans="1:13" ht="14.25" customHeight="1" x14ac:dyDescent="0.3">
      <c r="A389" s="48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64"/>
    </row>
    <row r="390" spans="1:13" ht="14.25" customHeight="1" x14ac:dyDescent="0.3">
      <c r="A390" s="48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64"/>
    </row>
    <row r="391" spans="1:13" ht="14.25" customHeight="1" x14ac:dyDescent="0.3">
      <c r="A391" s="48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64"/>
    </row>
    <row r="392" spans="1:13" ht="14.25" customHeight="1" x14ac:dyDescent="0.3">
      <c r="A392" s="48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64"/>
    </row>
    <row r="393" spans="1:13" ht="14.25" customHeight="1" x14ac:dyDescent="0.3">
      <c r="A393" s="48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64"/>
    </row>
    <row r="394" spans="1:13" ht="14.25" customHeight="1" x14ac:dyDescent="0.3">
      <c r="A394" s="48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64"/>
    </row>
    <row r="395" spans="1:13" ht="14.25" customHeight="1" x14ac:dyDescent="0.3">
      <c r="A395" s="48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64"/>
    </row>
    <row r="396" spans="1:13" ht="14.25" customHeight="1" x14ac:dyDescent="0.3">
      <c r="A396" s="48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64"/>
    </row>
    <row r="397" spans="1:13" ht="14.25" customHeight="1" x14ac:dyDescent="0.3">
      <c r="A397" s="48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64"/>
    </row>
    <row r="398" spans="1:13" ht="14.25" customHeight="1" x14ac:dyDescent="0.3">
      <c r="A398" s="48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64"/>
    </row>
    <row r="399" spans="1:13" ht="14.25" customHeight="1" x14ac:dyDescent="0.3">
      <c r="A399" s="48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64"/>
    </row>
    <row r="400" spans="1:13" ht="14.25" customHeight="1" x14ac:dyDescent="0.3">
      <c r="A400" s="48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64"/>
    </row>
    <row r="401" spans="1:13" ht="14.25" customHeight="1" x14ac:dyDescent="0.3">
      <c r="A401" s="48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64"/>
    </row>
    <row r="402" spans="1:13" ht="14.25" customHeight="1" x14ac:dyDescent="0.3">
      <c r="A402" s="48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64"/>
    </row>
    <row r="403" spans="1:13" ht="14.25" customHeight="1" x14ac:dyDescent="0.3">
      <c r="A403" s="48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64"/>
    </row>
    <row r="404" spans="1:13" ht="14.25" customHeight="1" x14ac:dyDescent="0.3">
      <c r="A404" s="48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64"/>
    </row>
    <row r="405" spans="1:13" ht="14.25" customHeight="1" x14ac:dyDescent="0.3">
      <c r="A405" s="48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64"/>
    </row>
    <row r="406" spans="1:13" ht="14.25" customHeight="1" x14ac:dyDescent="0.3">
      <c r="A406" s="48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64"/>
    </row>
    <row r="407" spans="1:13" ht="14.25" customHeight="1" x14ac:dyDescent="0.3">
      <c r="A407" s="48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64"/>
    </row>
    <row r="408" spans="1:13" ht="14.25" customHeight="1" x14ac:dyDescent="0.3">
      <c r="A408" s="48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64"/>
    </row>
    <row r="409" spans="1:13" ht="14.25" customHeight="1" x14ac:dyDescent="0.3">
      <c r="A409" s="48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64"/>
    </row>
    <row r="410" spans="1:13" ht="14.25" customHeight="1" x14ac:dyDescent="0.3">
      <c r="A410" s="48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64"/>
    </row>
    <row r="411" spans="1:13" ht="14.25" customHeight="1" x14ac:dyDescent="0.3">
      <c r="A411" s="48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64"/>
    </row>
    <row r="412" spans="1:13" ht="14.25" customHeight="1" x14ac:dyDescent="0.3">
      <c r="A412" s="48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64"/>
    </row>
    <row r="413" spans="1:13" ht="14.25" customHeight="1" x14ac:dyDescent="0.3">
      <c r="A413" s="48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64"/>
    </row>
    <row r="414" spans="1:13" ht="14.25" customHeight="1" x14ac:dyDescent="0.3">
      <c r="A414" s="48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64"/>
    </row>
    <row r="415" spans="1:13" ht="14.25" customHeight="1" x14ac:dyDescent="0.3">
      <c r="A415" s="48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64"/>
    </row>
    <row r="416" spans="1:13" ht="14.25" customHeight="1" x14ac:dyDescent="0.3">
      <c r="A416" s="48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64"/>
    </row>
    <row r="417" spans="1:13" ht="14.25" customHeight="1" x14ac:dyDescent="0.3">
      <c r="A417" s="48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64"/>
    </row>
    <row r="418" spans="1:13" ht="14.25" customHeight="1" x14ac:dyDescent="0.3">
      <c r="A418" s="48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64"/>
    </row>
    <row r="419" spans="1:13" ht="14.25" customHeight="1" x14ac:dyDescent="0.3">
      <c r="A419" s="48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64"/>
    </row>
    <row r="420" spans="1:13" ht="14.25" customHeight="1" x14ac:dyDescent="0.3">
      <c r="A420" s="48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64"/>
    </row>
    <row r="421" spans="1:13" ht="14.25" customHeight="1" x14ac:dyDescent="0.3">
      <c r="A421" s="48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64"/>
    </row>
    <row r="422" spans="1:13" ht="14.25" customHeight="1" x14ac:dyDescent="0.3">
      <c r="A422" s="48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64"/>
    </row>
    <row r="423" spans="1:13" ht="14.25" customHeight="1" x14ac:dyDescent="0.3">
      <c r="A423" s="48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64"/>
    </row>
    <row r="424" spans="1:13" ht="14.25" customHeight="1" x14ac:dyDescent="0.3">
      <c r="A424" s="48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64"/>
    </row>
    <row r="425" spans="1:13" ht="14.25" customHeight="1" x14ac:dyDescent="0.3">
      <c r="A425" s="48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64"/>
    </row>
    <row r="426" spans="1:13" ht="14.25" customHeight="1" x14ac:dyDescent="0.3">
      <c r="A426" s="48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64"/>
    </row>
    <row r="427" spans="1:13" ht="14.25" customHeight="1" x14ac:dyDescent="0.3">
      <c r="A427" s="48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64"/>
    </row>
    <row r="428" spans="1:13" ht="14.25" customHeight="1" x14ac:dyDescent="0.3">
      <c r="A428" s="48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64"/>
    </row>
    <row r="429" spans="1:13" ht="14.25" customHeight="1" x14ac:dyDescent="0.3">
      <c r="A429" s="48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64"/>
    </row>
    <row r="430" spans="1:13" ht="14.25" customHeight="1" x14ac:dyDescent="0.3">
      <c r="A430" s="48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64"/>
    </row>
    <row r="431" spans="1:13" ht="14.25" customHeight="1" x14ac:dyDescent="0.3">
      <c r="A431" s="48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64"/>
    </row>
    <row r="432" spans="1:13" ht="14.25" customHeight="1" x14ac:dyDescent="0.3">
      <c r="A432" s="48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64"/>
    </row>
    <row r="433" spans="1:13" ht="14.25" customHeight="1" x14ac:dyDescent="0.3">
      <c r="A433" s="48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64"/>
    </row>
    <row r="434" spans="1:13" ht="14.25" customHeight="1" x14ac:dyDescent="0.3">
      <c r="A434" s="48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64"/>
    </row>
    <row r="435" spans="1:13" ht="14.25" customHeight="1" x14ac:dyDescent="0.3">
      <c r="A435" s="48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64"/>
    </row>
    <row r="436" spans="1:13" ht="14.25" customHeight="1" x14ac:dyDescent="0.3">
      <c r="A436" s="48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64"/>
    </row>
    <row r="437" spans="1:13" ht="14.25" customHeight="1" x14ac:dyDescent="0.3">
      <c r="A437" s="48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64"/>
    </row>
    <row r="438" spans="1:13" ht="14.25" customHeight="1" x14ac:dyDescent="0.3">
      <c r="A438" s="48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64"/>
    </row>
    <row r="439" spans="1:13" ht="14.25" customHeight="1" x14ac:dyDescent="0.3">
      <c r="A439" s="48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64"/>
    </row>
    <row r="440" spans="1:13" ht="14.25" customHeight="1" x14ac:dyDescent="0.3">
      <c r="A440" s="48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64"/>
    </row>
    <row r="441" spans="1:13" ht="14.25" customHeight="1" x14ac:dyDescent="0.3">
      <c r="A441" s="48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64"/>
    </row>
    <row r="442" spans="1:13" ht="14.25" customHeight="1" x14ac:dyDescent="0.3">
      <c r="A442" s="48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64"/>
    </row>
    <row r="443" spans="1:13" ht="14.25" customHeight="1" x14ac:dyDescent="0.3">
      <c r="A443" s="48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64"/>
    </row>
    <row r="444" spans="1:13" ht="14.25" customHeight="1" x14ac:dyDescent="0.3">
      <c r="A444" s="48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64"/>
    </row>
    <row r="445" spans="1:13" ht="14.25" customHeight="1" x14ac:dyDescent="0.3">
      <c r="A445" s="48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64"/>
    </row>
    <row r="446" spans="1:13" ht="14.25" customHeight="1" x14ac:dyDescent="0.3">
      <c r="A446" s="48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64"/>
    </row>
    <row r="447" spans="1:13" ht="14.25" customHeight="1" x14ac:dyDescent="0.3">
      <c r="A447" s="48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64"/>
    </row>
    <row r="448" spans="1:13" ht="14.25" customHeight="1" x14ac:dyDescent="0.3">
      <c r="A448" s="48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64"/>
    </row>
    <row r="449" spans="1:13" ht="14.25" customHeight="1" x14ac:dyDescent="0.3">
      <c r="A449" s="48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64"/>
    </row>
    <row r="450" spans="1:13" ht="14.25" customHeight="1" x14ac:dyDescent="0.3">
      <c r="A450" s="48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64"/>
    </row>
    <row r="451" spans="1:13" ht="14.25" customHeight="1" x14ac:dyDescent="0.3">
      <c r="A451" s="48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64"/>
    </row>
    <row r="452" spans="1:13" ht="14.25" customHeight="1" x14ac:dyDescent="0.3">
      <c r="A452" s="48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64"/>
    </row>
    <row r="453" spans="1:13" ht="14.25" customHeight="1" x14ac:dyDescent="0.3">
      <c r="A453" s="48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64"/>
    </row>
    <row r="454" spans="1:13" ht="14.25" customHeight="1" x14ac:dyDescent="0.3">
      <c r="A454" s="48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64"/>
    </row>
    <row r="455" spans="1:13" ht="14.25" customHeight="1" x14ac:dyDescent="0.3">
      <c r="A455" s="48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64"/>
    </row>
    <row r="456" spans="1:13" ht="14.25" customHeight="1" x14ac:dyDescent="0.3">
      <c r="A456" s="48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64"/>
    </row>
    <row r="457" spans="1:13" ht="14.25" customHeight="1" x14ac:dyDescent="0.3">
      <c r="A457" s="48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64"/>
    </row>
    <row r="458" spans="1:13" ht="14.25" customHeight="1" x14ac:dyDescent="0.3">
      <c r="A458" s="48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64"/>
    </row>
    <row r="459" spans="1:13" ht="14.25" customHeight="1" x14ac:dyDescent="0.3">
      <c r="A459" s="48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64"/>
    </row>
    <row r="460" spans="1:13" ht="14.25" customHeight="1" x14ac:dyDescent="0.3">
      <c r="A460" s="48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64"/>
    </row>
    <row r="461" spans="1:13" ht="14.25" customHeight="1" x14ac:dyDescent="0.3">
      <c r="A461" s="48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64"/>
    </row>
    <row r="462" spans="1:13" ht="14.25" customHeight="1" x14ac:dyDescent="0.3">
      <c r="A462" s="48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64"/>
    </row>
    <row r="463" spans="1:13" ht="14.25" customHeight="1" x14ac:dyDescent="0.3">
      <c r="A463" s="48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64"/>
    </row>
    <row r="464" spans="1:13" ht="14.25" customHeight="1" x14ac:dyDescent="0.3">
      <c r="A464" s="48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64"/>
    </row>
    <row r="465" spans="1:13" ht="14.25" customHeight="1" x14ac:dyDescent="0.3">
      <c r="A465" s="48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64"/>
    </row>
    <row r="466" spans="1:13" ht="14.25" customHeight="1" x14ac:dyDescent="0.3">
      <c r="A466" s="48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64"/>
    </row>
    <row r="467" spans="1:13" ht="14.25" customHeight="1" x14ac:dyDescent="0.3">
      <c r="A467" s="48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64"/>
    </row>
    <row r="468" spans="1:13" ht="14.25" customHeight="1" x14ac:dyDescent="0.3">
      <c r="A468" s="48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64"/>
    </row>
    <row r="469" spans="1:13" ht="14.25" customHeight="1" x14ac:dyDescent="0.3">
      <c r="A469" s="48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64"/>
    </row>
    <row r="470" spans="1:13" ht="14.25" customHeight="1" x14ac:dyDescent="0.3">
      <c r="A470" s="48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64"/>
    </row>
    <row r="471" spans="1:13" ht="14.25" customHeight="1" x14ac:dyDescent="0.3">
      <c r="A471" s="48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64"/>
    </row>
    <row r="472" spans="1:13" ht="14.25" customHeight="1" x14ac:dyDescent="0.3">
      <c r="A472" s="48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64"/>
    </row>
    <row r="473" spans="1:13" ht="14.25" customHeight="1" x14ac:dyDescent="0.3">
      <c r="A473" s="48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64"/>
    </row>
    <row r="474" spans="1:13" ht="14.25" customHeight="1" x14ac:dyDescent="0.3">
      <c r="A474" s="48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64"/>
    </row>
    <row r="475" spans="1:13" ht="14.25" customHeight="1" x14ac:dyDescent="0.3">
      <c r="A475" s="48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64"/>
    </row>
    <row r="476" spans="1:13" ht="14.25" customHeight="1" x14ac:dyDescent="0.3">
      <c r="A476" s="48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64"/>
    </row>
    <row r="477" spans="1:13" ht="14.25" customHeight="1" x14ac:dyDescent="0.3">
      <c r="A477" s="48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64"/>
    </row>
    <row r="478" spans="1:13" ht="14.25" customHeight="1" x14ac:dyDescent="0.3">
      <c r="A478" s="48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64"/>
    </row>
    <row r="479" spans="1:13" ht="14.25" customHeight="1" x14ac:dyDescent="0.3">
      <c r="A479" s="48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64"/>
    </row>
    <row r="480" spans="1:13" ht="14.25" customHeight="1" x14ac:dyDescent="0.3">
      <c r="A480" s="48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64"/>
    </row>
    <row r="481" spans="1:13" ht="14.25" customHeight="1" x14ac:dyDescent="0.3">
      <c r="A481" s="48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64"/>
    </row>
    <row r="482" spans="1:13" ht="14.25" customHeight="1" x14ac:dyDescent="0.3">
      <c r="A482" s="48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64"/>
    </row>
    <row r="483" spans="1:13" ht="14.25" customHeight="1" x14ac:dyDescent="0.3">
      <c r="A483" s="48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64"/>
    </row>
    <row r="484" spans="1:13" ht="14.25" customHeight="1" x14ac:dyDescent="0.3">
      <c r="A484" s="48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64"/>
    </row>
    <row r="485" spans="1:13" ht="14.25" customHeight="1" x14ac:dyDescent="0.3">
      <c r="A485" s="48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64"/>
    </row>
    <row r="486" spans="1:13" ht="14.25" customHeight="1" x14ac:dyDescent="0.3">
      <c r="A486" s="48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64"/>
    </row>
    <row r="487" spans="1:13" ht="14.25" customHeight="1" x14ac:dyDescent="0.3">
      <c r="A487" s="48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64"/>
    </row>
    <row r="488" spans="1:13" ht="14.25" customHeight="1" x14ac:dyDescent="0.3">
      <c r="A488" s="48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64"/>
    </row>
    <row r="489" spans="1:13" ht="14.25" customHeight="1" x14ac:dyDescent="0.3">
      <c r="A489" s="48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64"/>
    </row>
    <row r="490" spans="1:13" ht="14.25" customHeight="1" x14ac:dyDescent="0.3">
      <c r="A490" s="48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64"/>
    </row>
    <row r="491" spans="1:13" ht="14.25" customHeight="1" x14ac:dyDescent="0.3">
      <c r="A491" s="48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64"/>
    </row>
    <row r="492" spans="1:13" ht="14.25" customHeight="1" x14ac:dyDescent="0.3">
      <c r="A492" s="48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64"/>
    </row>
    <row r="493" spans="1:13" ht="14.25" customHeight="1" x14ac:dyDescent="0.3">
      <c r="A493" s="48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64"/>
    </row>
    <row r="494" spans="1:13" ht="14.25" customHeight="1" x14ac:dyDescent="0.3">
      <c r="A494" s="48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64"/>
    </row>
    <row r="495" spans="1:13" ht="14.25" customHeight="1" x14ac:dyDescent="0.3">
      <c r="A495" s="48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64"/>
    </row>
    <row r="496" spans="1:13" ht="14.25" customHeight="1" x14ac:dyDescent="0.3">
      <c r="A496" s="48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64"/>
    </row>
    <row r="497" spans="1:13" ht="14.25" customHeight="1" x14ac:dyDescent="0.3">
      <c r="A497" s="48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64"/>
    </row>
    <row r="498" spans="1:13" ht="14.25" customHeight="1" x14ac:dyDescent="0.3">
      <c r="A498" s="48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64"/>
    </row>
    <row r="499" spans="1:13" ht="14.25" customHeight="1" x14ac:dyDescent="0.3">
      <c r="A499" s="48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64"/>
    </row>
    <row r="500" spans="1:13" ht="14.25" customHeight="1" x14ac:dyDescent="0.3">
      <c r="A500" s="48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64"/>
    </row>
    <row r="501" spans="1:13" ht="14.25" customHeight="1" x14ac:dyDescent="0.3">
      <c r="A501" s="48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64"/>
    </row>
    <row r="502" spans="1:13" ht="14.25" customHeight="1" x14ac:dyDescent="0.3">
      <c r="A502" s="48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64"/>
    </row>
    <row r="503" spans="1:13" ht="14.25" customHeight="1" x14ac:dyDescent="0.3">
      <c r="A503" s="48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64"/>
    </row>
    <row r="504" spans="1:13" ht="14.25" customHeight="1" x14ac:dyDescent="0.3">
      <c r="A504" s="48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64"/>
    </row>
    <row r="505" spans="1:13" ht="14.25" customHeight="1" x14ac:dyDescent="0.3">
      <c r="A505" s="48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64"/>
    </row>
    <row r="506" spans="1:13" ht="14.25" customHeight="1" x14ac:dyDescent="0.3">
      <c r="A506" s="48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64"/>
    </row>
    <row r="507" spans="1:13" ht="14.25" customHeight="1" x14ac:dyDescent="0.3">
      <c r="A507" s="48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64"/>
    </row>
    <row r="508" spans="1:13" ht="14.25" customHeight="1" x14ac:dyDescent="0.3">
      <c r="A508" s="48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64"/>
    </row>
    <row r="509" spans="1:13" ht="14.25" customHeight="1" x14ac:dyDescent="0.3">
      <c r="A509" s="48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64"/>
    </row>
    <row r="510" spans="1:13" ht="14.25" customHeight="1" x14ac:dyDescent="0.3">
      <c r="A510" s="48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64"/>
    </row>
    <row r="511" spans="1:13" ht="14.25" customHeight="1" x14ac:dyDescent="0.3">
      <c r="A511" s="48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64"/>
    </row>
    <row r="512" spans="1:13" ht="14.25" customHeight="1" x14ac:dyDescent="0.3">
      <c r="A512" s="48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64"/>
    </row>
    <row r="513" spans="1:13" ht="14.25" customHeight="1" x14ac:dyDescent="0.3">
      <c r="A513" s="48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64"/>
    </row>
    <row r="514" spans="1:13" ht="14.25" customHeight="1" x14ac:dyDescent="0.3">
      <c r="A514" s="48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64"/>
    </row>
    <row r="515" spans="1:13" ht="14.25" customHeight="1" x14ac:dyDescent="0.3">
      <c r="A515" s="48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64"/>
    </row>
    <row r="516" spans="1:13" ht="14.25" customHeight="1" x14ac:dyDescent="0.3">
      <c r="A516" s="48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64"/>
    </row>
    <row r="517" spans="1:13" ht="14.25" customHeight="1" x14ac:dyDescent="0.3">
      <c r="A517" s="48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64"/>
    </row>
    <row r="518" spans="1:13" ht="14.25" customHeight="1" x14ac:dyDescent="0.3">
      <c r="A518" s="48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64"/>
    </row>
    <row r="519" spans="1:13" ht="14.25" customHeight="1" x14ac:dyDescent="0.3">
      <c r="A519" s="48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64"/>
    </row>
    <row r="520" spans="1:13" ht="14.25" customHeight="1" x14ac:dyDescent="0.3">
      <c r="A520" s="48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64"/>
    </row>
    <row r="521" spans="1:13" ht="14.25" customHeight="1" x14ac:dyDescent="0.3">
      <c r="A521" s="48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64"/>
    </row>
    <row r="522" spans="1:13" ht="14.25" customHeight="1" x14ac:dyDescent="0.3">
      <c r="A522" s="48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64"/>
    </row>
    <row r="523" spans="1:13" ht="14.25" customHeight="1" x14ac:dyDescent="0.3">
      <c r="A523" s="48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64"/>
    </row>
    <row r="524" spans="1:13" ht="14.25" customHeight="1" x14ac:dyDescent="0.3">
      <c r="A524" s="48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64"/>
    </row>
    <row r="525" spans="1:13" ht="14.25" customHeight="1" x14ac:dyDescent="0.3">
      <c r="A525" s="48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64"/>
    </row>
    <row r="526" spans="1:13" ht="14.25" customHeight="1" x14ac:dyDescent="0.3">
      <c r="A526" s="48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64"/>
    </row>
    <row r="527" spans="1:13" ht="14.25" customHeight="1" x14ac:dyDescent="0.3">
      <c r="A527" s="48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64"/>
    </row>
    <row r="528" spans="1:13" ht="14.25" customHeight="1" x14ac:dyDescent="0.3">
      <c r="A528" s="48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64"/>
    </row>
    <row r="529" spans="1:13" ht="14.25" customHeight="1" x14ac:dyDescent="0.3">
      <c r="A529" s="48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64"/>
    </row>
    <row r="530" spans="1:13" ht="14.25" customHeight="1" x14ac:dyDescent="0.3">
      <c r="A530" s="48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64"/>
    </row>
    <row r="531" spans="1:13" ht="14.25" customHeight="1" x14ac:dyDescent="0.3">
      <c r="A531" s="48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64"/>
    </row>
    <row r="532" spans="1:13" ht="14.25" customHeight="1" x14ac:dyDescent="0.3">
      <c r="A532" s="48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64"/>
    </row>
    <row r="533" spans="1:13" ht="14.25" customHeight="1" x14ac:dyDescent="0.3">
      <c r="A533" s="48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64"/>
    </row>
    <row r="534" spans="1:13" ht="14.25" customHeight="1" x14ac:dyDescent="0.3">
      <c r="A534" s="48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64"/>
    </row>
    <row r="535" spans="1:13" ht="14.25" customHeight="1" x14ac:dyDescent="0.3">
      <c r="A535" s="48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64"/>
    </row>
    <row r="536" spans="1:13" ht="14.25" customHeight="1" x14ac:dyDescent="0.3">
      <c r="A536" s="48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64"/>
    </row>
    <row r="537" spans="1:13" ht="14.25" customHeight="1" x14ac:dyDescent="0.3">
      <c r="A537" s="48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64"/>
    </row>
    <row r="538" spans="1:13" ht="14.25" customHeight="1" x14ac:dyDescent="0.3">
      <c r="A538" s="48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64"/>
    </row>
    <row r="539" spans="1:13" ht="14.25" customHeight="1" x14ac:dyDescent="0.3">
      <c r="A539" s="48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64"/>
    </row>
    <row r="540" spans="1:13" ht="14.25" customHeight="1" x14ac:dyDescent="0.3">
      <c r="A540" s="48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64"/>
    </row>
    <row r="541" spans="1:13" ht="14.25" customHeight="1" x14ac:dyDescent="0.3">
      <c r="A541" s="48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64"/>
    </row>
    <row r="542" spans="1:13" ht="14.25" customHeight="1" x14ac:dyDescent="0.3">
      <c r="A542" s="48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64"/>
    </row>
    <row r="543" spans="1:13" ht="14.25" customHeight="1" x14ac:dyDescent="0.3">
      <c r="A543" s="48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64"/>
    </row>
    <row r="544" spans="1:13" ht="14.25" customHeight="1" x14ac:dyDescent="0.3">
      <c r="A544" s="48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64"/>
    </row>
    <row r="545" spans="1:13" ht="14.25" customHeight="1" x14ac:dyDescent="0.3">
      <c r="A545" s="48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64"/>
    </row>
    <row r="546" spans="1:13" ht="14.25" customHeight="1" x14ac:dyDescent="0.3">
      <c r="A546" s="48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64"/>
    </row>
    <row r="547" spans="1:13" ht="14.25" customHeight="1" x14ac:dyDescent="0.3">
      <c r="A547" s="48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64"/>
    </row>
    <row r="548" spans="1:13" ht="14.25" customHeight="1" x14ac:dyDescent="0.3">
      <c r="A548" s="48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64"/>
    </row>
    <row r="549" spans="1:13" ht="14.25" customHeight="1" x14ac:dyDescent="0.3">
      <c r="A549" s="48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64"/>
    </row>
    <row r="550" spans="1:13" ht="14.25" customHeight="1" x14ac:dyDescent="0.3">
      <c r="A550" s="48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64"/>
    </row>
    <row r="551" spans="1:13" ht="14.25" customHeight="1" x14ac:dyDescent="0.3">
      <c r="A551" s="48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64"/>
    </row>
    <row r="552" spans="1:13" ht="14.25" customHeight="1" x14ac:dyDescent="0.3">
      <c r="A552" s="48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64"/>
    </row>
    <row r="553" spans="1:13" ht="14.25" customHeight="1" x14ac:dyDescent="0.3">
      <c r="A553" s="48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64"/>
    </row>
    <row r="554" spans="1:13" ht="14.25" customHeight="1" x14ac:dyDescent="0.3">
      <c r="A554" s="48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64"/>
    </row>
    <row r="555" spans="1:13" ht="14.25" customHeight="1" x14ac:dyDescent="0.3">
      <c r="A555" s="48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64"/>
    </row>
    <row r="556" spans="1:13" ht="14.25" customHeight="1" x14ac:dyDescent="0.3">
      <c r="A556" s="48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64"/>
    </row>
    <row r="557" spans="1:13" ht="14.25" customHeight="1" x14ac:dyDescent="0.3">
      <c r="A557" s="48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64"/>
    </row>
    <row r="558" spans="1:13" ht="14.25" customHeight="1" x14ac:dyDescent="0.3">
      <c r="A558" s="48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64"/>
    </row>
    <row r="559" spans="1:13" ht="14.25" customHeight="1" x14ac:dyDescent="0.3">
      <c r="A559" s="48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64"/>
    </row>
    <row r="560" spans="1:13" ht="14.25" customHeight="1" x14ac:dyDescent="0.3">
      <c r="A560" s="48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64"/>
    </row>
    <row r="561" spans="1:13" ht="14.25" customHeight="1" x14ac:dyDescent="0.3">
      <c r="A561" s="48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64"/>
    </row>
    <row r="562" spans="1:13" ht="14.25" customHeight="1" x14ac:dyDescent="0.3">
      <c r="A562" s="48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64"/>
    </row>
    <row r="563" spans="1:13" ht="14.25" customHeight="1" x14ac:dyDescent="0.3">
      <c r="A563" s="48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64"/>
    </row>
    <row r="564" spans="1:13" ht="14.25" customHeight="1" x14ac:dyDescent="0.3">
      <c r="A564" s="48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64"/>
    </row>
    <row r="565" spans="1:13" ht="14.25" customHeight="1" x14ac:dyDescent="0.3">
      <c r="A565" s="48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64"/>
    </row>
    <row r="566" spans="1:13" ht="14.25" customHeight="1" x14ac:dyDescent="0.3">
      <c r="A566" s="48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64"/>
    </row>
    <row r="567" spans="1:13" ht="14.25" customHeight="1" x14ac:dyDescent="0.3">
      <c r="A567" s="48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64"/>
    </row>
    <row r="568" spans="1:13" ht="14.25" customHeight="1" x14ac:dyDescent="0.3">
      <c r="A568" s="48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64"/>
    </row>
    <row r="569" spans="1:13" ht="14.25" customHeight="1" x14ac:dyDescent="0.3">
      <c r="A569" s="48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64"/>
    </row>
    <row r="570" spans="1:13" ht="14.25" customHeight="1" x14ac:dyDescent="0.3">
      <c r="A570" s="48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64"/>
    </row>
    <row r="571" spans="1:13" ht="14.25" customHeight="1" x14ac:dyDescent="0.3">
      <c r="A571" s="48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64"/>
    </row>
    <row r="572" spans="1:13" ht="14.25" customHeight="1" x14ac:dyDescent="0.3">
      <c r="A572" s="48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64"/>
    </row>
    <row r="573" spans="1:13" ht="14.25" customHeight="1" x14ac:dyDescent="0.3">
      <c r="A573" s="48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64"/>
    </row>
    <row r="574" spans="1:13" ht="14.25" customHeight="1" x14ac:dyDescent="0.3">
      <c r="A574" s="48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64"/>
    </row>
    <row r="575" spans="1:13" ht="14.25" customHeight="1" x14ac:dyDescent="0.3">
      <c r="A575" s="48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64"/>
    </row>
    <row r="576" spans="1:13" ht="14.25" customHeight="1" x14ac:dyDescent="0.3">
      <c r="A576" s="48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64"/>
    </row>
    <row r="577" spans="1:13" ht="14.25" customHeight="1" x14ac:dyDescent="0.3">
      <c r="A577" s="48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64"/>
    </row>
    <row r="578" spans="1:13" ht="14.25" customHeight="1" x14ac:dyDescent="0.3">
      <c r="A578" s="48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64"/>
    </row>
    <row r="579" spans="1:13" ht="14.25" customHeight="1" x14ac:dyDescent="0.3">
      <c r="A579" s="48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64"/>
    </row>
    <row r="580" spans="1:13" ht="14.25" customHeight="1" x14ac:dyDescent="0.3">
      <c r="A580" s="48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64"/>
    </row>
    <row r="581" spans="1:13" ht="14.25" customHeight="1" x14ac:dyDescent="0.3">
      <c r="A581" s="48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64"/>
    </row>
    <row r="582" spans="1:13" ht="14.25" customHeight="1" x14ac:dyDescent="0.3">
      <c r="A582" s="48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64"/>
    </row>
    <row r="583" spans="1:13" ht="14.25" customHeight="1" x14ac:dyDescent="0.3">
      <c r="A583" s="48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64"/>
    </row>
    <row r="584" spans="1:13" ht="14.25" customHeight="1" x14ac:dyDescent="0.3">
      <c r="A584" s="48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64"/>
    </row>
    <row r="585" spans="1:13" ht="14.25" customHeight="1" x14ac:dyDescent="0.3">
      <c r="A585" s="48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64"/>
    </row>
    <row r="586" spans="1:13" ht="14.25" customHeight="1" x14ac:dyDescent="0.3">
      <c r="A586" s="48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64"/>
    </row>
    <row r="587" spans="1:13" ht="14.25" customHeight="1" x14ac:dyDescent="0.3">
      <c r="A587" s="48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64"/>
    </row>
    <row r="588" spans="1:13" ht="14.25" customHeight="1" x14ac:dyDescent="0.3">
      <c r="A588" s="48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64"/>
    </row>
    <row r="589" spans="1:13" ht="14.25" customHeight="1" x14ac:dyDescent="0.3">
      <c r="A589" s="48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64"/>
    </row>
    <row r="590" spans="1:13" ht="14.25" customHeight="1" x14ac:dyDescent="0.3">
      <c r="A590" s="48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64"/>
    </row>
    <row r="591" spans="1:13" ht="14.25" customHeight="1" x14ac:dyDescent="0.3">
      <c r="A591" s="48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64"/>
    </row>
    <row r="592" spans="1:13" ht="14.25" customHeight="1" x14ac:dyDescent="0.3">
      <c r="A592" s="48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64"/>
    </row>
    <row r="593" spans="1:13" ht="14.25" customHeight="1" x14ac:dyDescent="0.3">
      <c r="A593" s="48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64"/>
    </row>
    <row r="594" spans="1:13" ht="14.25" customHeight="1" x14ac:dyDescent="0.3">
      <c r="A594" s="48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64"/>
    </row>
    <row r="595" spans="1:13" ht="14.25" customHeight="1" x14ac:dyDescent="0.3">
      <c r="A595" s="48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64"/>
    </row>
    <row r="596" spans="1:13" ht="14.25" customHeight="1" x14ac:dyDescent="0.3">
      <c r="A596" s="48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64"/>
    </row>
    <row r="597" spans="1:13" ht="14.25" customHeight="1" x14ac:dyDescent="0.3">
      <c r="A597" s="48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64"/>
    </row>
    <row r="598" spans="1:13" ht="14.25" customHeight="1" x14ac:dyDescent="0.3">
      <c r="A598" s="48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64"/>
    </row>
    <row r="599" spans="1:13" ht="14.25" customHeight="1" x14ac:dyDescent="0.3">
      <c r="A599" s="48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64"/>
    </row>
    <row r="600" spans="1:13" ht="14.25" customHeight="1" x14ac:dyDescent="0.3">
      <c r="A600" s="48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64"/>
    </row>
    <row r="601" spans="1:13" ht="14.25" customHeight="1" x14ac:dyDescent="0.3">
      <c r="A601" s="48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64"/>
    </row>
    <row r="602" spans="1:13" ht="14.25" customHeight="1" x14ac:dyDescent="0.3">
      <c r="A602" s="48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64"/>
    </row>
    <row r="603" spans="1:13" ht="14.25" customHeight="1" x14ac:dyDescent="0.3">
      <c r="A603" s="48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64"/>
    </row>
    <row r="604" spans="1:13" ht="14.25" customHeight="1" x14ac:dyDescent="0.3">
      <c r="A604" s="48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64"/>
    </row>
    <row r="605" spans="1:13" ht="14.25" customHeight="1" x14ac:dyDescent="0.3">
      <c r="A605" s="48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64"/>
    </row>
    <row r="606" spans="1:13" ht="14.25" customHeight="1" x14ac:dyDescent="0.3">
      <c r="A606" s="48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64"/>
    </row>
    <row r="607" spans="1:13" ht="14.25" customHeight="1" x14ac:dyDescent="0.3">
      <c r="A607" s="48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64"/>
    </row>
    <row r="608" spans="1:13" ht="14.25" customHeight="1" x14ac:dyDescent="0.3">
      <c r="A608" s="48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64"/>
    </row>
    <row r="609" spans="1:13" ht="14.25" customHeight="1" x14ac:dyDescent="0.3">
      <c r="A609" s="48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64"/>
    </row>
    <row r="610" spans="1:13" ht="14.25" customHeight="1" x14ac:dyDescent="0.3">
      <c r="A610" s="48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64"/>
    </row>
    <row r="611" spans="1:13" ht="14.25" customHeight="1" x14ac:dyDescent="0.3">
      <c r="A611" s="48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64"/>
    </row>
    <row r="612" spans="1:13" ht="14.25" customHeight="1" x14ac:dyDescent="0.3">
      <c r="A612" s="48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64"/>
    </row>
    <row r="613" spans="1:13" ht="14.25" customHeight="1" x14ac:dyDescent="0.3">
      <c r="A613" s="48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64"/>
    </row>
    <row r="614" spans="1:13" ht="14.25" customHeight="1" x14ac:dyDescent="0.3">
      <c r="A614" s="48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64"/>
    </row>
    <row r="615" spans="1:13" ht="14.25" customHeight="1" x14ac:dyDescent="0.3">
      <c r="A615" s="48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64"/>
    </row>
    <row r="616" spans="1:13" ht="14.25" customHeight="1" x14ac:dyDescent="0.3">
      <c r="A616" s="48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64"/>
    </row>
    <row r="617" spans="1:13" ht="14.25" customHeight="1" x14ac:dyDescent="0.3">
      <c r="A617" s="48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64"/>
    </row>
    <row r="618" spans="1:13" ht="14.25" customHeight="1" x14ac:dyDescent="0.3">
      <c r="A618" s="48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64"/>
    </row>
    <row r="619" spans="1:13" ht="14.25" customHeight="1" x14ac:dyDescent="0.3">
      <c r="A619" s="48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64"/>
    </row>
    <row r="620" spans="1:13" ht="14.25" customHeight="1" x14ac:dyDescent="0.3">
      <c r="A620" s="48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64"/>
    </row>
    <row r="621" spans="1:13" ht="14.25" customHeight="1" x14ac:dyDescent="0.3">
      <c r="A621" s="48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64"/>
    </row>
    <row r="622" spans="1:13" ht="14.25" customHeight="1" x14ac:dyDescent="0.3">
      <c r="A622" s="48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64"/>
    </row>
    <row r="623" spans="1:13" ht="14.25" customHeight="1" x14ac:dyDescent="0.3">
      <c r="A623" s="48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64"/>
    </row>
    <row r="624" spans="1:13" ht="14.25" customHeight="1" x14ac:dyDescent="0.3">
      <c r="A624" s="48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64"/>
    </row>
    <row r="625" spans="1:13" ht="14.25" customHeight="1" x14ac:dyDescent="0.3">
      <c r="A625" s="48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64"/>
    </row>
    <row r="626" spans="1:13" ht="14.25" customHeight="1" x14ac:dyDescent="0.3">
      <c r="A626" s="48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64"/>
    </row>
    <row r="627" spans="1:13" ht="14.25" customHeight="1" x14ac:dyDescent="0.3">
      <c r="A627" s="48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64"/>
    </row>
    <row r="628" spans="1:13" ht="14.25" customHeight="1" x14ac:dyDescent="0.3">
      <c r="A628" s="48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64"/>
    </row>
    <row r="629" spans="1:13" ht="14.25" customHeight="1" x14ac:dyDescent="0.3">
      <c r="A629" s="48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64"/>
    </row>
    <row r="630" spans="1:13" ht="14.25" customHeight="1" x14ac:dyDescent="0.3">
      <c r="A630" s="48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64"/>
    </row>
    <row r="631" spans="1:13" ht="14.25" customHeight="1" x14ac:dyDescent="0.3">
      <c r="A631" s="48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64"/>
    </row>
    <row r="632" spans="1:13" ht="14.25" customHeight="1" x14ac:dyDescent="0.3">
      <c r="A632" s="48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64"/>
    </row>
    <row r="633" spans="1:13" ht="14.25" customHeight="1" x14ac:dyDescent="0.3">
      <c r="A633" s="48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64"/>
    </row>
    <row r="634" spans="1:13" ht="14.25" customHeight="1" x14ac:dyDescent="0.3">
      <c r="A634" s="48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64"/>
    </row>
    <row r="635" spans="1:13" ht="14.25" customHeight="1" x14ac:dyDescent="0.3">
      <c r="A635" s="48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64"/>
    </row>
    <row r="636" spans="1:13" ht="14.25" customHeight="1" x14ac:dyDescent="0.3">
      <c r="A636" s="48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64"/>
    </row>
    <row r="637" spans="1:13" ht="14.25" customHeight="1" x14ac:dyDescent="0.3">
      <c r="A637" s="48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64"/>
    </row>
    <row r="638" spans="1:13" ht="14.25" customHeight="1" x14ac:dyDescent="0.3">
      <c r="A638" s="48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64"/>
    </row>
    <row r="639" spans="1:13" ht="14.25" customHeight="1" x14ac:dyDescent="0.3">
      <c r="A639" s="48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64"/>
    </row>
    <row r="640" spans="1:13" ht="14.25" customHeight="1" x14ac:dyDescent="0.3">
      <c r="A640" s="48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64"/>
    </row>
    <row r="641" spans="1:13" ht="14.25" customHeight="1" x14ac:dyDescent="0.3">
      <c r="A641" s="48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64"/>
    </row>
    <row r="642" spans="1:13" ht="14.25" customHeight="1" x14ac:dyDescent="0.3">
      <c r="A642" s="48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64"/>
    </row>
    <row r="643" spans="1:13" ht="14.25" customHeight="1" x14ac:dyDescent="0.3">
      <c r="A643" s="48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64"/>
    </row>
    <row r="644" spans="1:13" ht="14.25" customHeight="1" x14ac:dyDescent="0.3">
      <c r="A644" s="48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64"/>
    </row>
    <row r="645" spans="1:13" ht="14.25" customHeight="1" x14ac:dyDescent="0.3">
      <c r="A645" s="48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64"/>
    </row>
    <row r="646" spans="1:13" ht="14.25" customHeight="1" x14ac:dyDescent="0.3">
      <c r="A646" s="48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64"/>
    </row>
    <row r="647" spans="1:13" ht="14.25" customHeight="1" x14ac:dyDescent="0.3">
      <c r="A647" s="48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64"/>
    </row>
    <row r="648" spans="1:13" ht="14.25" customHeight="1" x14ac:dyDescent="0.3">
      <c r="A648" s="48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64"/>
    </row>
    <row r="649" spans="1:13" ht="14.25" customHeight="1" x14ac:dyDescent="0.3">
      <c r="A649" s="48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64"/>
    </row>
    <row r="650" spans="1:13" ht="14.25" customHeight="1" x14ac:dyDescent="0.3">
      <c r="A650" s="48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64"/>
    </row>
    <row r="651" spans="1:13" ht="14.25" customHeight="1" x14ac:dyDescent="0.3">
      <c r="A651" s="48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64"/>
    </row>
    <row r="652" spans="1:13" ht="14.25" customHeight="1" x14ac:dyDescent="0.3">
      <c r="A652" s="48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64"/>
    </row>
    <row r="653" spans="1:13" ht="14.25" customHeight="1" x14ac:dyDescent="0.3">
      <c r="A653" s="48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64"/>
    </row>
    <row r="654" spans="1:13" ht="14.25" customHeight="1" x14ac:dyDescent="0.3">
      <c r="A654" s="48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64"/>
    </row>
    <row r="655" spans="1:13" ht="14.25" customHeight="1" x14ac:dyDescent="0.3">
      <c r="A655" s="48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64"/>
    </row>
    <row r="656" spans="1:13" ht="14.25" customHeight="1" x14ac:dyDescent="0.3">
      <c r="A656" s="48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64"/>
    </row>
    <row r="657" spans="1:13" ht="14.25" customHeight="1" x14ac:dyDescent="0.3">
      <c r="A657" s="48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64"/>
    </row>
    <row r="658" spans="1:13" ht="14.25" customHeight="1" x14ac:dyDescent="0.3">
      <c r="A658" s="48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64"/>
    </row>
    <row r="659" spans="1:13" ht="14.25" customHeight="1" x14ac:dyDescent="0.3">
      <c r="A659" s="48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64"/>
    </row>
    <row r="660" spans="1:13" ht="14.25" customHeight="1" x14ac:dyDescent="0.3">
      <c r="A660" s="48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64"/>
    </row>
    <row r="661" spans="1:13" ht="14.25" customHeight="1" x14ac:dyDescent="0.3">
      <c r="A661" s="48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64"/>
    </row>
    <row r="662" spans="1:13" ht="14.25" customHeight="1" x14ac:dyDescent="0.3">
      <c r="A662" s="48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64"/>
    </row>
    <row r="663" spans="1:13" ht="14.25" customHeight="1" x14ac:dyDescent="0.3">
      <c r="A663" s="48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64"/>
    </row>
    <row r="664" spans="1:13" ht="14.25" customHeight="1" x14ac:dyDescent="0.3">
      <c r="A664" s="48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64"/>
    </row>
    <row r="665" spans="1:13" ht="14.25" customHeight="1" x14ac:dyDescent="0.3">
      <c r="A665" s="48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64"/>
    </row>
    <row r="666" spans="1:13" ht="14.25" customHeight="1" x14ac:dyDescent="0.3">
      <c r="A666" s="48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64"/>
    </row>
    <row r="667" spans="1:13" ht="14.25" customHeight="1" x14ac:dyDescent="0.3">
      <c r="A667" s="48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64"/>
    </row>
    <row r="668" spans="1:13" ht="14.25" customHeight="1" x14ac:dyDescent="0.3">
      <c r="A668" s="48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64"/>
    </row>
    <row r="669" spans="1:13" ht="14.25" customHeight="1" x14ac:dyDescent="0.3">
      <c r="A669" s="48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64"/>
    </row>
    <row r="670" spans="1:13" ht="14.25" customHeight="1" x14ac:dyDescent="0.3">
      <c r="A670" s="48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64"/>
    </row>
    <row r="671" spans="1:13" ht="14.25" customHeight="1" x14ac:dyDescent="0.3">
      <c r="A671" s="48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64"/>
    </row>
    <row r="672" spans="1:13" ht="14.25" customHeight="1" x14ac:dyDescent="0.3">
      <c r="A672" s="48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64"/>
    </row>
    <row r="673" spans="1:13" ht="14.25" customHeight="1" x14ac:dyDescent="0.3">
      <c r="A673" s="48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64"/>
    </row>
    <row r="674" spans="1:13" ht="14.25" customHeight="1" x14ac:dyDescent="0.3">
      <c r="A674" s="48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64"/>
    </row>
    <row r="675" spans="1:13" ht="14.25" customHeight="1" x14ac:dyDescent="0.3">
      <c r="A675" s="48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64"/>
    </row>
    <row r="676" spans="1:13" ht="14.25" customHeight="1" x14ac:dyDescent="0.3">
      <c r="A676" s="48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64"/>
    </row>
    <row r="677" spans="1:13" ht="14.25" customHeight="1" x14ac:dyDescent="0.3">
      <c r="A677" s="48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64"/>
    </row>
    <row r="678" spans="1:13" ht="14.25" customHeight="1" x14ac:dyDescent="0.3">
      <c r="A678" s="48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64"/>
    </row>
    <row r="679" spans="1:13" ht="14.25" customHeight="1" x14ac:dyDescent="0.3">
      <c r="A679" s="48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64"/>
    </row>
    <row r="680" spans="1:13" ht="14.25" customHeight="1" x14ac:dyDescent="0.3">
      <c r="A680" s="48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64"/>
    </row>
    <row r="681" spans="1:13" ht="14.25" customHeight="1" x14ac:dyDescent="0.3">
      <c r="A681" s="48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64"/>
    </row>
    <row r="682" spans="1:13" ht="14.25" customHeight="1" x14ac:dyDescent="0.3">
      <c r="A682" s="48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64"/>
    </row>
    <row r="683" spans="1:13" ht="14.25" customHeight="1" x14ac:dyDescent="0.3">
      <c r="A683" s="48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64"/>
    </row>
    <row r="684" spans="1:13" ht="14.25" customHeight="1" x14ac:dyDescent="0.3">
      <c r="A684" s="48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64"/>
    </row>
    <row r="685" spans="1:13" ht="14.25" customHeight="1" x14ac:dyDescent="0.3">
      <c r="A685" s="48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64"/>
    </row>
    <row r="686" spans="1:13" ht="14.25" customHeight="1" x14ac:dyDescent="0.3">
      <c r="A686" s="48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64"/>
    </row>
    <row r="687" spans="1:13" ht="14.25" customHeight="1" x14ac:dyDescent="0.3">
      <c r="A687" s="48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64"/>
    </row>
    <row r="688" spans="1:13" ht="14.25" customHeight="1" x14ac:dyDescent="0.3">
      <c r="A688" s="48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64"/>
    </row>
    <row r="689" spans="1:13" ht="14.25" customHeight="1" x14ac:dyDescent="0.3">
      <c r="A689" s="48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64"/>
    </row>
    <row r="690" spans="1:13" ht="14.25" customHeight="1" x14ac:dyDescent="0.3">
      <c r="A690" s="48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64"/>
    </row>
    <row r="691" spans="1:13" ht="14.25" customHeight="1" x14ac:dyDescent="0.3">
      <c r="A691" s="48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64"/>
    </row>
    <row r="692" spans="1:13" ht="14.25" customHeight="1" x14ac:dyDescent="0.3">
      <c r="A692" s="48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64"/>
    </row>
    <row r="693" spans="1:13" ht="14.25" customHeight="1" x14ac:dyDescent="0.3">
      <c r="A693" s="48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64"/>
    </row>
    <row r="694" spans="1:13" ht="14.25" customHeight="1" x14ac:dyDescent="0.3">
      <c r="A694" s="48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64"/>
    </row>
    <row r="695" spans="1:13" ht="14.25" customHeight="1" x14ac:dyDescent="0.3">
      <c r="A695" s="48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64"/>
    </row>
    <row r="696" spans="1:13" ht="14.25" customHeight="1" x14ac:dyDescent="0.3">
      <c r="A696" s="48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64"/>
    </row>
    <row r="697" spans="1:13" ht="14.25" customHeight="1" x14ac:dyDescent="0.3">
      <c r="A697" s="48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64"/>
    </row>
    <row r="698" spans="1:13" ht="14.25" customHeight="1" x14ac:dyDescent="0.3">
      <c r="A698" s="48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64"/>
    </row>
    <row r="699" spans="1:13" ht="14.25" customHeight="1" x14ac:dyDescent="0.3">
      <c r="A699" s="48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64"/>
    </row>
    <row r="700" spans="1:13" ht="14.25" customHeight="1" x14ac:dyDescent="0.3">
      <c r="A700" s="48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64"/>
    </row>
    <row r="701" spans="1:13" ht="14.25" customHeight="1" x14ac:dyDescent="0.3">
      <c r="A701" s="48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64"/>
    </row>
    <row r="702" spans="1:13" ht="14.25" customHeight="1" x14ac:dyDescent="0.3">
      <c r="A702" s="48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64"/>
    </row>
    <row r="703" spans="1:13" ht="14.25" customHeight="1" x14ac:dyDescent="0.3">
      <c r="A703" s="48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64"/>
    </row>
    <row r="704" spans="1:13" ht="14.25" customHeight="1" x14ac:dyDescent="0.3">
      <c r="A704" s="48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64"/>
    </row>
    <row r="705" spans="1:13" ht="14.25" customHeight="1" x14ac:dyDescent="0.3">
      <c r="A705" s="48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64"/>
    </row>
    <row r="706" spans="1:13" ht="14.25" customHeight="1" x14ac:dyDescent="0.3">
      <c r="A706" s="48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64"/>
    </row>
    <row r="707" spans="1:13" ht="14.25" customHeight="1" x14ac:dyDescent="0.3">
      <c r="A707" s="48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64"/>
    </row>
    <row r="708" spans="1:13" ht="14.25" customHeight="1" x14ac:dyDescent="0.3">
      <c r="A708" s="48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64"/>
    </row>
    <row r="709" spans="1:13" ht="14.25" customHeight="1" x14ac:dyDescent="0.3">
      <c r="A709" s="48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64"/>
    </row>
    <row r="710" spans="1:13" ht="14.25" customHeight="1" x14ac:dyDescent="0.3">
      <c r="A710" s="48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64"/>
    </row>
    <row r="711" spans="1:13" ht="14.25" customHeight="1" x14ac:dyDescent="0.3">
      <c r="A711" s="48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64"/>
    </row>
    <row r="712" spans="1:13" ht="14.25" customHeight="1" x14ac:dyDescent="0.3">
      <c r="A712" s="48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64"/>
    </row>
    <row r="713" spans="1:13" ht="14.25" customHeight="1" x14ac:dyDescent="0.3">
      <c r="A713" s="48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64"/>
    </row>
    <row r="714" spans="1:13" ht="14.25" customHeight="1" x14ac:dyDescent="0.3">
      <c r="A714" s="48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64"/>
    </row>
    <row r="715" spans="1:13" ht="14.25" customHeight="1" x14ac:dyDescent="0.3">
      <c r="A715" s="48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64"/>
    </row>
    <row r="716" spans="1:13" ht="14.25" customHeight="1" x14ac:dyDescent="0.3">
      <c r="A716" s="48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64"/>
    </row>
    <row r="717" spans="1:13" ht="14.25" customHeight="1" x14ac:dyDescent="0.3">
      <c r="A717" s="48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64"/>
    </row>
    <row r="718" spans="1:13" ht="14.25" customHeight="1" x14ac:dyDescent="0.3">
      <c r="A718" s="48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64"/>
    </row>
    <row r="719" spans="1:13" ht="14.25" customHeight="1" x14ac:dyDescent="0.3">
      <c r="A719" s="48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64"/>
    </row>
    <row r="720" spans="1:13" ht="14.25" customHeight="1" x14ac:dyDescent="0.3">
      <c r="A720" s="48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64"/>
    </row>
    <row r="721" spans="1:13" ht="14.25" customHeight="1" x14ac:dyDescent="0.3">
      <c r="A721" s="48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64"/>
    </row>
    <row r="722" spans="1:13" ht="14.25" customHeight="1" x14ac:dyDescent="0.3">
      <c r="A722" s="48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64"/>
    </row>
    <row r="723" spans="1:13" ht="14.25" customHeight="1" x14ac:dyDescent="0.3">
      <c r="A723" s="48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64"/>
    </row>
    <row r="724" spans="1:13" ht="14.25" customHeight="1" x14ac:dyDescent="0.3">
      <c r="A724" s="48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64"/>
    </row>
    <row r="725" spans="1:13" ht="14.25" customHeight="1" x14ac:dyDescent="0.3">
      <c r="A725" s="48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64"/>
    </row>
    <row r="726" spans="1:13" ht="14.25" customHeight="1" x14ac:dyDescent="0.3">
      <c r="A726" s="48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64"/>
    </row>
    <row r="727" spans="1:13" ht="14.25" customHeight="1" x14ac:dyDescent="0.3">
      <c r="A727" s="48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64"/>
    </row>
    <row r="728" spans="1:13" ht="14.25" customHeight="1" x14ac:dyDescent="0.3">
      <c r="A728" s="48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64"/>
    </row>
    <row r="729" spans="1:13" ht="14.25" customHeight="1" x14ac:dyDescent="0.3">
      <c r="A729" s="48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64"/>
    </row>
    <row r="730" spans="1:13" ht="14.25" customHeight="1" x14ac:dyDescent="0.3">
      <c r="A730" s="48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64"/>
    </row>
    <row r="731" spans="1:13" ht="14.25" customHeight="1" x14ac:dyDescent="0.3">
      <c r="A731" s="48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64"/>
    </row>
    <row r="732" spans="1:13" ht="14.25" customHeight="1" x14ac:dyDescent="0.3">
      <c r="A732" s="48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64"/>
    </row>
    <row r="733" spans="1:13" ht="14.25" customHeight="1" x14ac:dyDescent="0.3">
      <c r="A733" s="48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64"/>
    </row>
    <row r="734" spans="1:13" ht="14.25" customHeight="1" x14ac:dyDescent="0.3">
      <c r="A734" s="48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64"/>
    </row>
    <row r="735" spans="1:13" ht="14.25" customHeight="1" x14ac:dyDescent="0.3">
      <c r="A735" s="48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64"/>
    </row>
    <row r="736" spans="1:13" ht="14.25" customHeight="1" x14ac:dyDescent="0.3">
      <c r="A736" s="48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64"/>
    </row>
    <row r="737" spans="1:13" ht="14.25" customHeight="1" x14ac:dyDescent="0.3">
      <c r="A737" s="48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64"/>
    </row>
    <row r="738" spans="1:13" ht="14.25" customHeight="1" x14ac:dyDescent="0.3">
      <c r="A738" s="48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64"/>
    </row>
    <row r="739" spans="1:13" ht="14.25" customHeight="1" x14ac:dyDescent="0.3">
      <c r="A739" s="48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64"/>
    </row>
    <row r="740" spans="1:13" ht="14.25" customHeight="1" x14ac:dyDescent="0.3">
      <c r="A740" s="48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64"/>
    </row>
    <row r="741" spans="1:13" ht="14.25" customHeight="1" x14ac:dyDescent="0.3">
      <c r="A741" s="48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64"/>
    </row>
    <row r="742" spans="1:13" ht="14.25" customHeight="1" x14ac:dyDescent="0.3">
      <c r="A742" s="48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64"/>
    </row>
    <row r="743" spans="1:13" ht="14.25" customHeight="1" x14ac:dyDescent="0.3">
      <c r="A743" s="48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64"/>
    </row>
    <row r="744" spans="1:13" ht="14.25" customHeight="1" x14ac:dyDescent="0.3">
      <c r="A744" s="48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64"/>
    </row>
    <row r="745" spans="1:13" ht="14.25" customHeight="1" x14ac:dyDescent="0.3">
      <c r="A745" s="48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64"/>
    </row>
    <row r="746" spans="1:13" ht="14.25" customHeight="1" x14ac:dyDescent="0.3">
      <c r="A746" s="48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64"/>
    </row>
    <row r="747" spans="1:13" ht="14.25" customHeight="1" x14ac:dyDescent="0.3">
      <c r="A747" s="48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64"/>
    </row>
    <row r="748" spans="1:13" ht="14.25" customHeight="1" x14ac:dyDescent="0.3">
      <c r="A748" s="48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64"/>
    </row>
    <row r="749" spans="1:13" ht="14.25" customHeight="1" x14ac:dyDescent="0.3">
      <c r="A749" s="48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64"/>
    </row>
    <row r="750" spans="1:13" ht="14.25" customHeight="1" x14ac:dyDescent="0.3">
      <c r="A750" s="48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64"/>
    </row>
    <row r="751" spans="1:13" ht="14.25" customHeight="1" x14ac:dyDescent="0.3">
      <c r="A751" s="48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64"/>
    </row>
    <row r="752" spans="1:13" ht="14.25" customHeight="1" x14ac:dyDescent="0.3">
      <c r="A752" s="48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64"/>
    </row>
    <row r="753" spans="1:13" ht="14.25" customHeight="1" x14ac:dyDescent="0.3">
      <c r="A753" s="48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64"/>
    </row>
    <row r="754" spans="1:13" ht="14.25" customHeight="1" x14ac:dyDescent="0.3">
      <c r="A754" s="48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64"/>
    </row>
    <row r="755" spans="1:13" ht="14.25" customHeight="1" x14ac:dyDescent="0.3">
      <c r="A755" s="48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64"/>
    </row>
    <row r="756" spans="1:13" ht="14.25" customHeight="1" x14ac:dyDescent="0.3">
      <c r="A756" s="48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64"/>
    </row>
    <row r="757" spans="1:13" ht="14.25" customHeight="1" x14ac:dyDescent="0.3">
      <c r="A757" s="48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64"/>
    </row>
    <row r="758" spans="1:13" ht="14.25" customHeight="1" x14ac:dyDescent="0.3">
      <c r="A758" s="48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64"/>
    </row>
    <row r="759" spans="1:13" ht="14.25" customHeight="1" x14ac:dyDescent="0.3">
      <c r="A759" s="48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64"/>
    </row>
    <row r="760" spans="1:13" ht="14.25" customHeight="1" x14ac:dyDescent="0.3">
      <c r="A760" s="48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64"/>
    </row>
    <row r="761" spans="1:13" ht="14.25" customHeight="1" x14ac:dyDescent="0.3">
      <c r="A761" s="48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64"/>
    </row>
    <row r="762" spans="1:13" ht="14.25" customHeight="1" x14ac:dyDescent="0.3">
      <c r="A762" s="48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64"/>
    </row>
    <row r="763" spans="1:13" ht="14.25" customHeight="1" x14ac:dyDescent="0.3">
      <c r="A763" s="48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64"/>
    </row>
    <row r="764" spans="1:13" ht="14.25" customHeight="1" x14ac:dyDescent="0.3">
      <c r="A764" s="48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64"/>
    </row>
    <row r="765" spans="1:13" ht="14.25" customHeight="1" x14ac:dyDescent="0.3">
      <c r="A765" s="48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64"/>
    </row>
    <row r="766" spans="1:13" ht="14.25" customHeight="1" x14ac:dyDescent="0.3">
      <c r="A766" s="48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64"/>
    </row>
    <row r="767" spans="1:13" ht="14.25" customHeight="1" x14ac:dyDescent="0.3">
      <c r="A767" s="48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64"/>
    </row>
    <row r="768" spans="1:13" ht="14.25" customHeight="1" x14ac:dyDescent="0.3">
      <c r="A768" s="48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64"/>
    </row>
    <row r="769" spans="1:13" ht="14.25" customHeight="1" x14ac:dyDescent="0.3">
      <c r="A769" s="48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64"/>
    </row>
    <row r="770" spans="1:13" ht="14.25" customHeight="1" x14ac:dyDescent="0.3">
      <c r="A770" s="48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64"/>
    </row>
    <row r="771" spans="1:13" ht="14.25" customHeight="1" x14ac:dyDescent="0.3">
      <c r="A771" s="48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64"/>
    </row>
    <row r="772" spans="1:13" ht="14.25" customHeight="1" x14ac:dyDescent="0.3">
      <c r="A772" s="48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64"/>
    </row>
    <row r="773" spans="1:13" ht="14.25" customHeight="1" x14ac:dyDescent="0.3">
      <c r="A773" s="48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64"/>
    </row>
    <row r="774" spans="1:13" ht="14.25" customHeight="1" x14ac:dyDescent="0.3">
      <c r="A774" s="48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64"/>
    </row>
    <row r="775" spans="1:13" ht="14.25" customHeight="1" x14ac:dyDescent="0.3">
      <c r="A775" s="48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64"/>
    </row>
    <row r="776" spans="1:13" ht="14.25" customHeight="1" x14ac:dyDescent="0.3">
      <c r="A776" s="48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64"/>
    </row>
    <row r="777" spans="1:13" ht="14.25" customHeight="1" x14ac:dyDescent="0.3">
      <c r="A777" s="48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64"/>
    </row>
    <row r="778" spans="1:13" ht="14.25" customHeight="1" x14ac:dyDescent="0.3">
      <c r="A778" s="48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64"/>
    </row>
    <row r="779" spans="1:13" ht="14.25" customHeight="1" x14ac:dyDescent="0.3">
      <c r="A779" s="48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64"/>
    </row>
    <row r="780" spans="1:13" ht="14.25" customHeight="1" x14ac:dyDescent="0.3">
      <c r="A780" s="48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64"/>
    </row>
    <row r="781" spans="1:13" ht="14.25" customHeight="1" x14ac:dyDescent="0.3">
      <c r="A781" s="48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64"/>
    </row>
    <row r="782" spans="1:13" ht="14.25" customHeight="1" x14ac:dyDescent="0.3">
      <c r="A782" s="48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64"/>
    </row>
    <row r="783" spans="1:13" ht="14.25" customHeight="1" x14ac:dyDescent="0.3">
      <c r="A783" s="48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64"/>
    </row>
    <row r="784" spans="1:13" ht="14.25" customHeight="1" x14ac:dyDescent="0.3">
      <c r="A784" s="48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64"/>
    </row>
    <row r="785" spans="1:13" ht="14.25" customHeight="1" x14ac:dyDescent="0.3">
      <c r="A785" s="48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64"/>
    </row>
    <row r="786" spans="1:13" ht="14.25" customHeight="1" x14ac:dyDescent="0.3">
      <c r="A786" s="48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64"/>
    </row>
    <row r="787" spans="1:13" ht="14.25" customHeight="1" x14ac:dyDescent="0.3">
      <c r="A787" s="48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64"/>
    </row>
    <row r="788" spans="1:13" ht="14.25" customHeight="1" x14ac:dyDescent="0.3">
      <c r="A788" s="48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64"/>
    </row>
    <row r="789" spans="1:13" ht="14.25" customHeight="1" x14ac:dyDescent="0.3">
      <c r="A789" s="48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64"/>
    </row>
    <row r="790" spans="1:13" ht="14.25" customHeight="1" x14ac:dyDescent="0.3">
      <c r="A790" s="48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64"/>
    </row>
    <row r="791" spans="1:13" ht="14.25" customHeight="1" x14ac:dyDescent="0.3">
      <c r="A791" s="48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64"/>
    </row>
    <row r="792" spans="1:13" ht="14.25" customHeight="1" x14ac:dyDescent="0.3">
      <c r="A792" s="48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64"/>
    </row>
    <row r="793" spans="1:13" ht="14.25" customHeight="1" x14ac:dyDescent="0.3">
      <c r="A793" s="48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64"/>
    </row>
    <row r="794" spans="1:13" ht="14.25" customHeight="1" x14ac:dyDescent="0.3">
      <c r="A794" s="48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64"/>
    </row>
    <row r="795" spans="1:13" ht="14.25" customHeight="1" x14ac:dyDescent="0.3">
      <c r="A795" s="48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64"/>
    </row>
    <row r="796" spans="1:13" ht="14.25" customHeight="1" x14ac:dyDescent="0.3">
      <c r="A796" s="48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64"/>
    </row>
    <row r="797" spans="1:13" ht="14.25" customHeight="1" x14ac:dyDescent="0.3">
      <c r="A797" s="48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64"/>
    </row>
    <row r="798" spans="1:13" ht="14.25" customHeight="1" x14ac:dyDescent="0.3">
      <c r="A798" s="48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64"/>
    </row>
    <row r="799" spans="1:13" ht="14.25" customHeight="1" x14ac:dyDescent="0.3">
      <c r="A799" s="48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64"/>
    </row>
    <row r="800" spans="1:13" ht="14.25" customHeight="1" x14ac:dyDescent="0.3">
      <c r="A800" s="48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64"/>
    </row>
    <row r="801" spans="1:13" ht="14.25" customHeight="1" x14ac:dyDescent="0.3">
      <c r="A801" s="48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64"/>
    </row>
    <row r="802" spans="1:13" ht="14.25" customHeight="1" x14ac:dyDescent="0.3">
      <c r="A802" s="48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64"/>
    </row>
    <row r="803" spans="1:13" ht="14.25" customHeight="1" x14ac:dyDescent="0.3">
      <c r="A803" s="48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64"/>
    </row>
    <row r="804" spans="1:13" ht="14.25" customHeight="1" x14ac:dyDescent="0.3">
      <c r="A804" s="48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64"/>
    </row>
    <row r="805" spans="1:13" ht="14.25" customHeight="1" x14ac:dyDescent="0.3">
      <c r="A805" s="48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64"/>
    </row>
    <row r="806" spans="1:13" ht="14.25" customHeight="1" x14ac:dyDescent="0.3">
      <c r="A806" s="48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64"/>
    </row>
    <row r="807" spans="1:13" ht="14.25" customHeight="1" x14ac:dyDescent="0.3">
      <c r="A807" s="48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64"/>
    </row>
    <row r="808" spans="1:13" ht="14.25" customHeight="1" x14ac:dyDescent="0.3">
      <c r="A808" s="48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64"/>
    </row>
    <row r="809" spans="1:13" ht="14.25" customHeight="1" x14ac:dyDescent="0.3">
      <c r="A809" s="48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64"/>
    </row>
    <row r="810" spans="1:13" ht="14.25" customHeight="1" x14ac:dyDescent="0.3">
      <c r="A810" s="48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64"/>
    </row>
    <row r="811" spans="1:13" ht="14.25" customHeight="1" x14ac:dyDescent="0.3">
      <c r="A811" s="48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64"/>
    </row>
    <row r="812" spans="1:13" ht="14.25" customHeight="1" x14ac:dyDescent="0.3">
      <c r="A812" s="48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64"/>
    </row>
    <row r="813" spans="1:13" ht="14.25" customHeight="1" x14ac:dyDescent="0.3">
      <c r="A813" s="48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64"/>
    </row>
    <row r="814" spans="1:13" ht="14.25" customHeight="1" x14ac:dyDescent="0.3">
      <c r="A814" s="48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64"/>
    </row>
    <row r="815" spans="1:13" ht="14.25" customHeight="1" x14ac:dyDescent="0.3">
      <c r="A815" s="48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64"/>
    </row>
    <row r="816" spans="1:13" ht="14.25" customHeight="1" x14ac:dyDescent="0.3">
      <c r="A816" s="48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64"/>
    </row>
    <row r="817" spans="1:13" ht="14.25" customHeight="1" x14ac:dyDescent="0.3">
      <c r="A817" s="48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64"/>
    </row>
    <row r="818" spans="1:13" ht="14.25" customHeight="1" x14ac:dyDescent="0.3">
      <c r="A818" s="48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64"/>
    </row>
    <row r="819" spans="1:13" ht="14.25" customHeight="1" x14ac:dyDescent="0.3">
      <c r="A819" s="48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64"/>
    </row>
    <row r="820" spans="1:13" ht="14.25" customHeight="1" x14ac:dyDescent="0.3">
      <c r="A820" s="48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64"/>
    </row>
    <row r="821" spans="1:13" ht="14.25" customHeight="1" x14ac:dyDescent="0.3">
      <c r="A821" s="48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64"/>
    </row>
    <row r="822" spans="1:13" ht="14.25" customHeight="1" x14ac:dyDescent="0.3">
      <c r="A822" s="48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64"/>
    </row>
    <row r="823" spans="1:13" ht="14.25" customHeight="1" x14ac:dyDescent="0.3">
      <c r="A823" s="48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64"/>
    </row>
    <row r="824" spans="1:13" ht="14.25" customHeight="1" x14ac:dyDescent="0.3">
      <c r="A824" s="48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64"/>
    </row>
    <row r="825" spans="1:13" ht="14.25" customHeight="1" x14ac:dyDescent="0.3">
      <c r="A825" s="48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64"/>
    </row>
    <row r="826" spans="1:13" ht="14.25" customHeight="1" x14ac:dyDescent="0.3">
      <c r="A826" s="48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64"/>
    </row>
    <row r="827" spans="1:13" ht="14.25" customHeight="1" x14ac:dyDescent="0.3">
      <c r="A827" s="48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64"/>
    </row>
    <row r="828" spans="1:13" ht="14.25" customHeight="1" x14ac:dyDescent="0.3">
      <c r="A828" s="48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64"/>
    </row>
    <row r="829" spans="1:13" ht="14.25" customHeight="1" x14ac:dyDescent="0.3">
      <c r="A829" s="48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64"/>
    </row>
    <row r="830" spans="1:13" ht="14.25" customHeight="1" x14ac:dyDescent="0.3">
      <c r="A830" s="48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64"/>
    </row>
    <row r="831" spans="1:13" ht="14.25" customHeight="1" x14ac:dyDescent="0.3">
      <c r="A831" s="48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64"/>
    </row>
    <row r="832" spans="1:13" ht="14.25" customHeight="1" x14ac:dyDescent="0.3">
      <c r="A832" s="48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64"/>
    </row>
    <row r="833" spans="1:13" ht="14.25" customHeight="1" x14ac:dyDescent="0.3">
      <c r="A833" s="48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64"/>
    </row>
    <row r="834" spans="1:13" ht="14.25" customHeight="1" x14ac:dyDescent="0.3">
      <c r="A834" s="48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64"/>
    </row>
    <row r="835" spans="1:13" ht="14.25" customHeight="1" x14ac:dyDescent="0.3">
      <c r="A835" s="48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64"/>
    </row>
    <row r="836" spans="1:13" ht="14.25" customHeight="1" x14ac:dyDescent="0.3">
      <c r="A836" s="48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64"/>
    </row>
    <row r="837" spans="1:13" ht="14.25" customHeight="1" x14ac:dyDescent="0.3">
      <c r="A837" s="48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64"/>
    </row>
    <row r="838" spans="1:13" ht="14.25" customHeight="1" x14ac:dyDescent="0.3">
      <c r="A838" s="48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64"/>
    </row>
    <row r="839" spans="1:13" ht="14.25" customHeight="1" x14ac:dyDescent="0.3">
      <c r="A839" s="48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64"/>
    </row>
    <row r="840" spans="1:13" ht="14.25" customHeight="1" x14ac:dyDescent="0.3">
      <c r="A840" s="48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64"/>
    </row>
    <row r="841" spans="1:13" ht="14.25" customHeight="1" x14ac:dyDescent="0.3">
      <c r="A841" s="48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64"/>
    </row>
    <row r="842" spans="1:13" ht="14.25" customHeight="1" x14ac:dyDescent="0.3">
      <c r="A842" s="48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64"/>
    </row>
    <row r="843" spans="1:13" ht="14.25" customHeight="1" x14ac:dyDescent="0.3">
      <c r="A843" s="48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64"/>
    </row>
    <row r="844" spans="1:13" ht="14.25" customHeight="1" x14ac:dyDescent="0.3">
      <c r="A844" s="48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64"/>
    </row>
    <row r="845" spans="1:13" ht="14.25" customHeight="1" x14ac:dyDescent="0.3">
      <c r="A845" s="48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64"/>
    </row>
    <row r="846" spans="1:13" ht="14.25" customHeight="1" x14ac:dyDescent="0.3">
      <c r="A846" s="48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64"/>
    </row>
    <row r="847" spans="1:13" ht="14.25" customHeight="1" x14ac:dyDescent="0.3">
      <c r="A847" s="48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64"/>
    </row>
    <row r="848" spans="1:13" ht="14.25" customHeight="1" x14ac:dyDescent="0.3">
      <c r="A848" s="48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64"/>
    </row>
    <row r="849" spans="1:13" ht="14.25" customHeight="1" x14ac:dyDescent="0.3">
      <c r="A849" s="48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64"/>
    </row>
    <row r="850" spans="1:13" ht="14.25" customHeight="1" x14ac:dyDescent="0.3">
      <c r="A850" s="48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64"/>
    </row>
    <row r="851" spans="1:13" ht="14.25" customHeight="1" x14ac:dyDescent="0.3">
      <c r="A851" s="48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64"/>
    </row>
    <row r="852" spans="1:13" ht="14.25" customHeight="1" x14ac:dyDescent="0.3">
      <c r="A852" s="48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64"/>
    </row>
    <row r="853" spans="1:13" ht="14.25" customHeight="1" x14ac:dyDescent="0.3">
      <c r="A853" s="48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64"/>
    </row>
    <row r="854" spans="1:13" ht="14.25" customHeight="1" x14ac:dyDescent="0.3">
      <c r="A854" s="48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64"/>
    </row>
    <row r="855" spans="1:13" ht="14.25" customHeight="1" x14ac:dyDescent="0.3">
      <c r="A855" s="48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64"/>
    </row>
    <row r="856" spans="1:13" ht="14.25" customHeight="1" x14ac:dyDescent="0.3">
      <c r="A856" s="48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64"/>
    </row>
    <row r="857" spans="1:13" ht="14.25" customHeight="1" x14ac:dyDescent="0.3">
      <c r="A857" s="48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64"/>
    </row>
    <row r="858" spans="1:13" ht="14.25" customHeight="1" x14ac:dyDescent="0.3">
      <c r="A858" s="48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64"/>
    </row>
    <row r="859" spans="1:13" ht="14.25" customHeight="1" x14ac:dyDescent="0.3">
      <c r="A859" s="48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64"/>
    </row>
    <row r="860" spans="1:13" ht="14.25" customHeight="1" x14ac:dyDescent="0.3">
      <c r="A860" s="48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64"/>
    </row>
    <row r="861" spans="1:13" ht="14.25" customHeight="1" x14ac:dyDescent="0.3">
      <c r="A861" s="48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64"/>
    </row>
    <row r="862" spans="1:13" ht="14.25" customHeight="1" x14ac:dyDescent="0.3">
      <c r="A862" s="48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64"/>
    </row>
    <row r="863" spans="1:13" ht="14.25" customHeight="1" x14ac:dyDescent="0.3">
      <c r="A863" s="48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64"/>
    </row>
    <row r="864" spans="1:13" ht="14.25" customHeight="1" x14ac:dyDescent="0.3">
      <c r="A864" s="48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64"/>
    </row>
    <row r="865" spans="1:13" ht="14.25" customHeight="1" x14ac:dyDescent="0.3">
      <c r="A865" s="48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64"/>
    </row>
    <row r="866" spans="1:13" ht="14.25" customHeight="1" x14ac:dyDescent="0.3">
      <c r="A866" s="48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64"/>
    </row>
    <row r="867" spans="1:13" ht="14.25" customHeight="1" x14ac:dyDescent="0.3">
      <c r="A867" s="48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64"/>
    </row>
    <row r="868" spans="1:13" ht="14.25" customHeight="1" x14ac:dyDescent="0.3">
      <c r="A868" s="48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64"/>
    </row>
    <row r="869" spans="1:13" ht="14.25" customHeight="1" x14ac:dyDescent="0.3">
      <c r="A869" s="48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64"/>
    </row>
    <row r="870" spans="1:13" ht="14.25" customHeight="1" x14ac:dyDescent="0.3">
      <c r="A870" s="48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64"/>
    </row>
    <row r="871" spans="1:13" ht="14.25" customHeight="1" x14ac:dyDescent="0.3">
      <c r="A871" s="48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64"/>
    </row>
    <row r="872" spans="1:13" ht="14.25" customHeight="1" x14ac:dyDescent="0.3">
      <c r="A872" s="48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64"/>
    </row>
    <row r="873" spans="1:13" ht="14.25" customHeight="1" x14ac:dyDescent="0.3">
      <c r="A873" s="48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64"/>
    </row>
    <row r="874" spans="1:13" ht="14.25" customHeight="1" x14ac:dyDescent="0.3">
      <c r="A874" s="48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64"/>
    </row>
    <row r="875" spans="1:13" ht="14.25" customHeight="1" x14ac:dyDescent="0.3">
      <c r="A875" s="48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64"/>
    </row>
    <row r="876" spans="1:13" ht="14.25" customHeight="1" x14ac:dyDescent="0.3">
      <c r="A876" s="48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64"/>
    </row>
    <row r="877" spans="1:13" ht="14.25" customHeight="1" x14ac:dyDescent="0.3">
      <c r="A877" s="48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64"/>
    </row>
    <row r="878" spans="1:13" ht="14.25" customHeight="1" x14ac:dyDescent="0.3">
      <c r="A878" s="48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64"/>
    </row>
    <row r="879" spans="1:13" ht="14.25" customHeight="1" x14ac:dyDescent="0.3">
      <c r="A879" s="48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64"/>
    </row>
    <row r="880" spans="1:13" ht="14.25" customHeight="1" x14ac:dyDescent="0.3">
      <c r="A880" s="48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64"/>
    </row>
    <row r="881" spans="1:13" ht="14.25" customHeight="1" x14ac:dyDescent="0.3">
      <c r="A881" s="48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64"/>
    </row>
    <row r="882" spans="1:13" ht="14.25" customHeight="1" x14ac:dyDescent="0.3">
      <c r="A882" s="48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64"/>
    </row>
    <row r="883" spans="1:13" ht="14.25" customHeight="1" x14ac:dyDescent="0.3">
      <c r="A883" s="48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64"/>
    </row>
    <row r="884" spans="1:13" ht="14.25" customHeight="1" x14ac:dyDescent="0.3">
      <c r="A884" s="48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64"/>
    </row>
    <row r="885" spans="1:13" ht="14.25" customHeight="1" x14ac:dyDescent="0.3">
      <c r="A885" s="48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64"/>
    </row>
    <row r="886" spans="1:13" ht="14.25" customHeight="1" x14ac:dyDescent="0.3">
      <c r="A886" s="48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64"/>
    </row>
    <row r="887" spans="1:13" ht="14.25" customHeight="1" x14ac:dyDescent="0.3">
      <c r="A887" s="48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64"/>
    </row>
    <row r="888" spans="1:13" ht="14.25" customHeight="1" x14ac:dyDescent="0.3">
      <c r="A888" s="48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64"/>
    </row>
    <row r="889" spans="1:13" ht="14.25" customHeight="1" x14ac:dyDescent="0.3">
      <c r="A889" s="48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64"/>
    </row>
    <row r="890" spans="1:13" ht="14.25" customHeight="1" x14ac:dyDescent="0.3">
      <c r="A890" s="48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64"/>
    </row>
    <row r="891" spans="1:13" ht="14.25" customHeight="1" x14ac:dyDescent="0.3">
      <c r="A891" s="48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64"/>
    </row>
    <row r="892" spans="1:13" ht="14.25" customHeight="1" x14ac:dyDescent="0.3">
      <c r="A892" s="48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64"/>
    </row>
    <row r="893" spans="1:13" ht="14.25" customHeight="1" x14ac:dyDescent="0.3">
      <c r="A893" s="48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64"/>
    </row>
    <row r="894" spans="1:13" ht="14.25" customHeight="1" x14ac:dyDescent="0.3">
      <c r="A894" s="48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64"/>
    </row>
    <row r="895" spans="1:13" ht="14.25" customHeight="1" x14ac:dyDescent="0.3">
      <c r="A895" s="48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64"/>
    </row>
    <row r="896" spans="1:13" ht="14.25" customHeight="1" x14ac:dyDescent="0.3">
      <c r="A896" s="48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64"/>
    </row>
    <row r="897" spans="1:13" ht="14.25" customHeight="1" x14ac:dyDescent="0.3">
      <c r="A897" s="48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64"/>
    </row>
    <row r="898" spans="1:13" ht="14.25" customHeight="1" x14ac:dyDescent="0.3">
      <c r="A898" s="48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64"/>
    </row>
    <row r="899" spans="1:13" ht="14.25" customHeight="1" x14ac:dyDescent="0.3">
      <c r="A899" s="48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64"/>
    </row>
    <row r="900" spans="1:13" ht="14.25" customHeight="1" x14ac:dyDescent="0.3">
      <c r="A900" s="48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64"/>
    </row>
    <row r="901" spans="1:13" ht="14.25" customHeight="1" x14ac:dyDescent="0.3">
      <c r="A901" s="48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64"/>
    </row>
    <row r="902" spans="1:13" ht="14.25" customHeight="1" x14ac:dyDescent="0.3">
      <c r="A902" s="48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64"/>
    </row>
    <row r="903" spans="1:13" ht="14.25" customHeight="1" x14ac:dyDescent="0.3">
      <c r="A903" s="48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64"/>
    </row>
    <row r="904" spans="1:13" ht="14.25" customHeight="1" x14ac:dyDescent="0.3">
      <c r="A904" s="48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64"/>
    </row>
    <row r="905" spans="1:13" ht="14.25" customHeight="1" x14ac:dyDescent="0.3">
      <c r="A905" s="48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64"/>
    </row>
    <row r="906" spans="1:13" ht="14.25" customHeight="1" x14ac:dyDescent="0.3">
      <c r="A906" s="48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64"/>
    </row>
    <row r="907" spans="1:13" ht="14.25" customHeight="1" x14ac:dyDescent="0.3">
      <c r="A907" s="48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64"/>
    </row>
    <row r="908" spans="1:13" ht="14.25" customHeight="1" x14ac:dyDescent="0.3">
      <c r="A908" s="48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64"/>
    </row>
    <row r="909" spans="1:13" ht="14.25" customHeight="1" x14ac:dyDescent="0.3">
      <c r="A909" s="48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64"/>
    </row>
    <row r="910" spans="1:13" ht="14.25" customHeight="1" x14ac:dyDescent="0.3">
      <c r="A910" s="48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64"/>
    </row>
    <row r="911" spans="1:13" ht="14.25" customHeight="1" x14ac:dyDescent="0.3">
      <c r="A911" s="48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64"/>
    </row>
    <row r="912" spans="1:13" ht="14.25" customHeight="1" x14ac:dyDescent="0.3">
      <c r="A912" s="48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64"/>
    </row>
    <row r="913" spans="1:13" ht="14.25" customHeight="1" x14ac:dyDescent="0.3">
      <c r="A913" s="48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64"/>
    </row>
    <row r="914" spans="1:13" ht="14.25" customHeight="1" x14ac:dyDescent="0.3">
      <c r="A914" s="48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64"/>
    </row>
    <row r="915" spans="1:13" ht="14.25" customHeight="1" x14ac:dyDescent="0.3">
      <c r="A915" s="48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64"/>
    </row>
    <row r="916" spans="1:13" ht="14.25" customHeight="1" x14ac:dyDescent="0.3">
      <c r="A916" s="48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64"/>
    </row>
    <row r="917" spans="1:13" ht="14.25" customHeight="1" x14ac:dyDescent="0.3">
      <c r="A917" s="48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64"/>
    </row>
    <row r="918" spans="1:13" ht="14.25" customHeight="1" x14ac:dyDescent="0.3">
      <c r="A918" s="48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64"/>
    </row>
    <row r="919" spans="1:13" ht="14.25" customHeight="1" x14ac:dyDescent="0.3">
      <c r="A919" s="48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64"/>
    </row>
    <row r="920" spans="1:13" ht="14.25" customHeight="1" x14ac:dyDescent="0.3">
      <c r="A920" s="48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64"/>
    </row>
    <row r="921" spans="1:13" ht="14.25" customHeight="1" x14ac:dyDescent="0.3">
      <c r="A921" s="48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64"/>
    </row>
    <row r="922" spans="1:13" ht="14.25" customHeight="1" x14ac:dyDescent="0.3">
      <c r="A922" s="48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64"/>
    </row>
    <row r="923" spans="1:13" ht="14.25" customHeight="1" x14ac:dyDescent="0.3">
      <c r="A923" s="48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64"/>
    </row>
    <row r="924" spans="1:13" ht="14.25" customHeight="1" x14ac:dyDescent="0.3">
      <c r="A924" s="48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64"/>
    </row>
    <row r="925" spans="1:13" ht="14.25" customHeight="1" x14ac:dyDescent="0.3">
      <c r="A925" s="48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64"/>
    </row>
    <row r="926" spans="1:13" ht="14.25" customHeight="1" x14ac:dyDescent="0.3">
      <c r="A926" s="48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64"/>
    </row>
    <row r="927" spans="1:13" ht="14.25" customHeight="1" x14ac:dyDescent="0.3">
      <c r="A927" s="48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64"/>
    </row>
    <row r="928" spans="1:13" ht="14.25" customHeight="1" x14ac:dyDescent="0.3">
      <c r="A928" s="48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64"/>
    </row>
    <row r="929" spans="1:13" ht="14.25" customHeight="1" x14ac:dyDescent="0.3">
      <c r="A929" s="48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64"/>
    </row>
    <row r="930" spans="1:13" ht="14.25" customHeight="1" x14ac:dyDescent="0.3">
      <c r="A930" s="48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64"/>
    </row>
    <row r="931" spans="1:13" ht="14.25" customHeight="1" x14ac:dyDescent="0.3">
      <c r="A931" s="48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64"/>
    </row>
    <row r="932" spans="1:13" ht="14.25" customHeight="1" x14ac:dyDescent="0.3">
      <c r="A932" s="48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64"/>
    </row>
    <row r="933" spans="1:13" ht="14.25" customHeight="1" x14ac:dyDescent="0.3">
      <c r="A933" s="48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64"/>
    </row>
    <row r="934" spans="1:13" ht="14.25" customHeight="1" x14ac:dyDescent="0.3">
      <c r="A934" s="48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64"/>
    </row>
    <row r="935" spans="1:13" ht="14.25" customHeight="1" x14ac:dyDescent="0.3">
      <c r="A935" s="48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64"/>
    </row>
    <row r="936" spans="1:13" ht="14.25" customHeight="1" x14ac:dyDescent="0.3">
      <c r="A936" s="48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64"/>
    </row>
    <row r="937" spans="1:13" ht="14.25" customHeight="1" x14ac:dyDescent="0.3">
      <c r="A937" s="48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64"/>
    </row>
    <row r="938" spans="1:13" ht="14.25" customHeight="1" x14ac:dyDescent="0.3">
      <c r="A938" s="48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64"/>
    </row>
    <row r="939" spans="1:13" ht="14.25" customHeight="1" x14ac:dyDescent="0.3">
      <c r="A939" s="48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64"/>
    </row>
    <row r="940" spans="1:13" ht="14.25" customHeight="1" x14ac:dyDescent="0.3">
      <c r="A940" s="48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64"/>
    </row>
    <row r="941" spans="1:13" ht="14.25" customHeight="1" x14ac:dyDescent="0.3">
      <c r="A941" s="48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64"/>
    </row>
    <row r="942" spans="1:13" ht="14.25" customHeight="1" x14ac:dyDescent="0.3">
      <c r="A942" s="48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64"/>
    </row>
    <row r="943" spans="1:13" ht="14.25" customHeight="1" x14ac:dyDescent="0.3">
      <c r="A943" s="48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64"/>
    </row>
    <row r="944" spans="1:13" ht="14.25" customHeight="1" x14ac:dyDescent="0.3">
      <c r="A944" s="48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64"/>
    </row>
    <row r="945" spans="1:13" ht="14.25" customHeight="1" x14ac:dyDescent="0.3">
      <c r="A945" s="48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64"/>
    </row>
    <row r="946" spans="1:13" ht="14.25" customHeight="1" x14ac:dyDescent="0.3">
      <c r="A946" s="48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64"/>
    </row>
    <row r="947" spans="1:13" ht="14.25" customHeight="1" x14ac:dyDescent="0.3">
      <c r="A947" s="48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64"/>
    </row>
    <row r="948" spans="1:13" ht="14.25" customHeight="1" x14ac:dyDescent="0.3">
      <c r="A948" s="48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64"/>
    </row>
    <row r="949" spans="1:13" ht="14.25" customHeight="1" x14ac:dyDescent="0.3">
      <c r="A949" s="48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64"/>
    </row>
    <row r="950" spans="1:13" ht="14.25" customHeight="1" x14ac:dyDescent="0.3">
      <c r="A950" s="48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64"/>
    </row>
    <row r="951" spans="1:13" ht="14.25" customHeight="1" x14ac:dyDescent="0.3">
      <c r="A951" s="48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64"/>
    </row>
    <row r="952" spans="1:13" ht="14.25" customHeight="1" x14ac:dyDescent="0.3">
      <c r="A952" s="48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64"/>
    </row>
    <row r="953" spans="1:13" ht="14.25" customHeight="1" x14ac:dyDescent="0.3">
      <c r="A953" s="48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64"/>
    </row>
    <row r="954" spans="1:13" ht="14.25" customHeight="1" x14ac:dyDescent="0.3">
      <c r="A954" s="48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64"/>
    </row>
    <row r="955" spans="1:13" ht="14.25" customHeight="1" x14ac:dyDescent="0.3">
      <c r="A955" s="48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64"/>
    </row>
    <row r="956" spans="1:13" ht="14.25" customHeight="1" x14ac:dyDescent="0.3">
      <c r="A956" s="48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64"/>
    </row>
    <row r="957" spans="1:13" ht="14.25" customHeight="1" x14ac:dyDescent="0.3">
      <c r="A957" s="48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64"/>
    </row>
    <row r="958" spans="1:13" ht="14.25" customHeight="1" x14ac:dyDescent="0.3">
      <c r="A958" s="48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64"/>
    </row>
    <row r="959" spans="1:13" ht="14.25" customHeight="1" x14ac:dyDescent="0.3">
      <c r="A959" s="48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64"/>
    </row>
    <row r="960" spans="1:13" ht="14.25" customHeight="1" x14ac:dyDescent="0.3">
      <c r="A960" s="48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64"/>
    </row>
    <row r="961" spans="1:13" ht="14.25" customHeight="1" x14ac:dyDescent="0.3">
      <c r="A961" s="48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64"/>
    </row>
    <row r="962" spans="1:13" ht="14.25" customHeight="1" x14ac:dyDescent="0.3">
      <c r="A962" s="48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64"/>
    </row>
    <row r="963" spans="1:13" ht="14.25" customHeight="1" x14ac:dyDescent="0.3">
      <c r="A963" s="48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64"/>
    </row>
    <row r="964" spans="1:13" ht="14.25" customHeight="1" x14ac:dyDescent="0.3">
      <c r="A964" s="48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64"/>
    </row>
    <row r="965" spans="1:13" ht="14.25" customHeight="1" x14ac:dyDescent="0.3">
      <c r="A965" s="48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64"/>
    </row>
    <row r="966" spans="1:13" ht="14.25" customHeight="1" x14ac:dyDescent="0.3">
      <c r="A966" s="48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64"/>
    </row>
    <row r="967" spans="1:13" ht="14.25" customHeight="1" x14ac:dyDescent="0.3">
      <c r="A967" s="48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64"/>
    </row>
    <row r="968" spans="1:13" ht="14.25" customHeight="1" x14ac:dyDescent="0.3">
      <c r="A968" s="48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64"/>
    </row>
    <row r="969" spans="1:13" ht="14.25" customHeight="1" x14ac:dyDescent="0.3">
      <c r="A969" s="48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64"/>
    </row>
    <row r="970" spans="1:13" ht="14.25" customHeight="1" x14ac:dyDescent="0.3">
      <c r="A970" s="48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64"/>
    </row>
    <row r="971" spans="1:13" ht="14.25" customHeight="1" x14ac:dyDescent="0.3">
      <c r="A971" s="48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64"/>
    </row>
    <row r="972" spans="1:13" ht="14.25" customHeight="1" x14ac:dyDescent="0.3">
      <c r="A972" s="48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64"/>
    </row>
    <row r="973" spans="1:13" ht="14.25" customHeight="1" x14ac:dyDescent="0.3">
      <c r="A973" s="48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64"/>
    </row>
    <row r="974" spans="1:13" ht="14.25" customHeight="1" x14ac:dyDescent="0.3">
      <c r="A974" s="48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64"/>
    </row>
    <row r="975" spans="1:13" ht="14.25" customHeight="1" x14ac:dyDescent="0.3">
      <c r="A975" s="48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64"/>
    </row>
    <row r="976" spans="1:13" ht="14.25" customHeight="1" x14ac:dyDescent="0.3">
      <c r="A976" s="48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64"/>
    </row>
    <row r="977" spans="1:13" ht="14.25" customHeight="1" x14ac:dyDescent="0.3">
      <c r="A977" s="48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64"/>
    </row>
    <row r="978" spans="1:13" ht="14.25" customHeight="1" x14ac:dyDescent="0.3">
      <c r="A978" s="48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64"/>
    </row>
    <row r="979" spans="1:13" ht="14.25" customHeight="1" x14ac:dyDescent="0.3">
      <c r="A979" s="48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64"/>
    </row>
    <row r="980" spans="1:13" ht="14.25" customHeight="1" x14ac:dyDescent="0.3">
      <c r="A980" s="48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64"/>
    </row>
    <row r="981" spans="1:13" ht="14.25" customHeight="1" x14ac:dyDescent="0.3">
      <c r="A981" s="48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64"/>
    </row>
    <row r="982" spans="1:13" ht="14.25" customHeight="1" x14ac:dyDescent="0.3">
      <c r="A982" s="48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64"/>
    </row>
    <row r="983" spans="1:13" ht="14.25" customHeight="1" x14ac:dyDescent="0.3">
      <c r="A983" s="48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64"/>
    </row>
    <row r="984" spans="1:13" ht="14.25" customHeight="1" x14ac:dyDescent="0.3">
      <c r="A984" s="48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64"/>
    </row>
    <row r="985" spans="1:13" ht="14.25" customHeight="1" x14ac:dyDescent="0.3">
      <c r="A985" s="48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64"/>
    </row>
    <row r="986" spans="1:13" ht="14.25" customHeight="1" x14ac:dyDescent="0.3">
      <c r="A986" s="48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64"/>
    </row>
    <row r="987" spans="1:13" ht="14.25" customHeight="1" x14ac:dyDescent="0.3">
      <c r="A987" s="48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64"/>
    </row>
    <row r="988" spans="1:13" ht="14.25" customHeight="1" x14ac:dyDescent="0.3">
      <c r="A988" s="48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64"/>
    </row>
    <row r="989" spans="1:13" ht="14.25" customHeight="1" x14ac:dyDescent="0.3">
      <c r="A989" s="48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64"/>
    </row>
    <row r="990" spans="1:13" ht="14.25" customHeight="1" x14ac:dyDescent="0.3">
      <c r="A990" s="48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64"/>
    </row>
    <row r="991" spans="1:13" ht="14.25" customHeight="1" x14ac:dyDescent="0.3">
      <c r="A991" s="48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64"/>
    </row>
    <row r="992" spans="1:13" ht="14.25" customHeight="1" x14ac:dyDescent="0.3">
      <c r="A992" s="48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64"/>
    </row>
    <row r="993" spans="1:13" ht="14.25" customHeight="1" x14ac:dyDescent="0.3">
      <c r="A993" s="48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64"/>
    </row>
    <row r="994" spans="1:13" ht="14.25" customHeight="1" x14ac:dyDescent="0.3">
      <c r="A994" s="48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64"/>
    </row>
    <row r="995" spans="1:13" ht="14.25" customHeight="1" x14ac:dyDescent="0.3">
      <c r="A995" s="48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64"/>
    </row>
    <row r="996" spans="1:13" ht="14.25" customHeight="1" x14ac:dyDescent="0.3">
      <c r="A996" s="48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64"/>
    </row>
    <row r="997" spans="1:13" ht="14.25" customHeight="1" x14ac:dyDescent="0.3">
      <c r="A997" s="48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64"/>
    </row>
    <row r="998" spans="1:13" ht="14.25" customHeight="1" x14ac:dyDescent="0.3">
      <c r="A998" s="48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64"/>
    </row>
    <row r="999" spans="1:13" ht="14.25" customHeight="1" x14ac:dyDescent="0.3">
      <c r="A999" s="48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64"/>
    </row>
    <row r="1000" spans="1:13" ht="14.25" customHeight="1" x14ac:dyDescent="0.3">
      <c r="A1000" s="48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64"/>
    </row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207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64"/>
    </row>
    <row r="2" spans="1:26" ht="14.25" customHeight="1" x14ac:dyDescent="0.3">
      <c r="A2" s="79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64"/>
    </row>
    <row r="3" spans="1:26" ht="14.25" customHeight="1" x14ac:dyDescent="0.3">
      <c r="A3" s="47" t="s">
        <v>201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64"/>
    </row>
    <row r="4" spans="1:26" ht="14.25" customHeight="1" x14ac:dyDescent="0.3">
      <c r="A4" s="48" t="s">
        <v>202</v>
      </c>
      <c r="B4" s="66" t="s">
        <v>208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</row>
    <row r="5" spans="1:26" ht="14.25" customHeight="1" x14ac:dyDescent="0.3">
      <c r="A5" s="48" t="s">
        <v>204</v>
      </c>
      <c r="B5" s="64" t="s">
        <v>209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26" ht="14.25" customHeight="1" x14ac:dyDescent="0.3">
      <c r="A6" s="48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64"/>
    </row>
    <row r="7" spans="1:26" ht="14.25" customHeight="1" x14ac:dyDescent="0.3">
      <c r="A7" s="49" t="s">
        <v>190</v>
      </c>
      <c r="B7" s="50" t="s">
        <v>195</v>
      </c>
      <c r="C7" s="50" t="s">
        <v>26</v>
      </c>
      <c r="D7" s="50" t="s">
        <v>33</v>
      </c>
      <c r="E7" s="50" t="s">
        <v>41</v>
      </c>
      <c r="F7" s="50" t="s">
        <v>46</v>
      </c>
      <c r="G7" s="50" t="s">
        <v>53</v>
      </c>
      <c r="H7" s="50" t="s">
        <v>59</v>
      </c>
      <c r="I7" s="50" t="s">
        <v>65</v>
      </c>
      <c r="J7" s="50" t="s">
        <v>73</v>
      </c>
      <c r="K7" s="50" t="s">
        <v>79</v>
      </c>
      <c r="L7" s="50" t="s">
        <v>84</v>
      </c>
      <c r="M7" s="68" t="s">
        <v>205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4.25" customHeight="1" x14ac:dyDescent="0.3">
      <c r="A8" s="69">
        <v>45957</v>
      </c>
      <c r="B8" s="73">
        <f t="shared" ref="B8:B22" si="0">SUM(C8:L8)</f>
        <v>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9">
        <v>45958</v>
      </c>
      <c r="B9" s="73">
        <f t="shared" si="0"/>
        <v>0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9">
        <v>45959</v>
      </c>
      <c r="B10" s="73">
        <f t="shared" si="0"/>
        <v>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9">
        <v>45960</v>
      </c>
      <c r="B11" s="73">
        <f t="shared" si="0"/>
        <v>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9">
        <v>45961</v>
      </c>
      <c r="B12" s="73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9">
        <v>45962</v>
      </c>
      <c r="B13" s="73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9">
        <v>45963</v>
      </c>
      <c r="B14" s="73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9">
        <v>45964</v>
      </c>
      <c r="B15" s="73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9">
        <v>45965</v>
      </c>
      <c r="B16" s="73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9">
        <v>45966</v>
      </c>
      <c r="B17" s="73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9">
        <v>45967</v>
      </c>
      <c r="B18" s="73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9">
        <v>45968</v>
      </c>
      <c r="B19" s="73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9">
        <v>45969</v>
      </c>
      <c r="B20" s="73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9">
        <v>45970</v>
      </c>
      <c r="B21" s="73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9">
        <v>45971</v>
      </c>
      <c r="B22" s="73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2" t="s">
        <v>196</v>
      </c>
      <c r="B23" s="53">
        <f t="shared" ref="B23:L23" si="1">SUM(B8:B22)</f>
        <v>0</v>
      </c>
      <c r="C23" s="53">
        <f t="shared" si="1"/>
        <v>0</v>
      </c>
      <c r="D23" s="53">
        <f t="shared" si="1"/>
        <v>0</v>
      </c>
      <c r="E23" s="53">
        <f t="shared" si="1"/>
        <v>0</v>
      </c>
      <c r="F23" s="53">
        <f t="shared" si="1"/>
        <v>0</v>
      </c>
      <c r="G23" s="53">
        <f t="shared" si="1"/>
        <v>0</v>
      </c>
      <c r="H23" s="53">
        <f t="shared" si="1"/>
        <v>0</v>
      </c>
      <c r="I23" s="53">
        <f t="shared" si="1"/>
        <v>0</v>
      </c>
      <c r="J23" s="53">
        <f t="shared" si="1"/>
        <v>0</v>
      </c>
      <c r="K23" s="53">
        <f t="shared" si="1"/>
        <v>0</v>
      </c>
      <c r="L23" s="53">
        <f t="shared" si="1"/>
        <v>0</v>
      </c>
      <c r="M23" s="74"/>
    </row>
    <row r="24" spans="1:26" ht="14.25" customHeight="1" x14ac:dyDescent="0.3">
      <c r="A24" s="54" t="s">
        <v>197</v>
      </c>
      <c r="B24" s="55">
        <f t="shared" ref="B24:L24" si="2">B23</f>
        <v>0</v>
      </c>
      <c r="C24" s="55">
        <f t="shared" si="2"/>
        <v>0</v>
      </c>
      <c r="D24" s="55">
        <f t="shared" si="2"/>
        <v>0</v>
      </c>
      <c r="E24" s="55">
        <f t="shared" si="2"/>
        <v>0</v>
      </c>
      <c r="F24" s="55">
        <f t="shared" si="2"/>
        <v>0</v>
      </c>
      <c r="G24" s="55">
        <f t="shared" si="2"/>
        <v>0</v>
      </c>
      <c r="H24" s="55">
        <f t="shared" si="2"/>
        <v>0</v>
      </c>
      <c r="I24" s="55">
        <f t="shared" si="2"/>
        <v>0</v>
      </c>
      <c r="J24" s="55">
        <f t="shared" si="2"/>
        <v>0</v>
      </c>
      <c r="K24" s="55">
        <f t="shared" si="2"/>
        <v>0</v>
      </c>
      <c r="L24" s="55">
        <f t="shared" si="2"/>
        <v>0</v>
      </c>
      <c r="M24" s="57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4.25" customHeight="1" x14ac:dyDescent="0.3">
      <c r="A25" s="48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64"/>
    </row>
    <row r="26" spans="1:26" ht="14.25" customHeight="1" x14ac:dyDescent="0.3">
      <c r="A26" s="58" t="s">
        <v>198</v>
      </c>
      <c r="B26" s="36" t="s">
        <v>195</v>
      </c>
      <c r="C26" s="36" t="s">
        <v>142</v>
      </c>
      <c r="D26" s="36" t="s">
        <v>144</v>
      </c>
      <c r="E26" s="36" t="s">
        <v>147</v>
      </c>
      <c r="F26" s="36" t="s">
        <v>149</v>
      </c>
      <c r="G26" s="36" t="s">
        <v>152</v>
      </c>
      <c r="H26" s="36" t="s">
        <v>154</v>
      </c>
      <c r="I26" s="36" t="s">
        <v>157</v>
      </c>
      <c r="J26" s="36" t="s">
        <v>159</v>
      </c>
      <c r="K26" s="36" t="s">
        <v>161</v>
      </c>
      <c r="L26" s="36" t="s">
        <v>163</v>
      </c>
      <c r="M26" s="75" t="s">
        <v>205</v>
      </c>
    </row>
    <row r="27" spans="1:26" ht="14.25" customHeight="1" x14ac:dyDescent="0.3">
      <c r="A27" s="51">
        <v>45972</v>
      </c>
      <c r="B27" s="73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1">
        <v>45973</v>
      </c>
      <c r="B28" s="73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1">
        <v>45974</v>
      </c>
      <c r="B29" s="73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1">
        <v>45975</v>
      </c>
      <c r="B30" s="73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1">
        <v>45976</v>
      </c>
      <c r="B31" s="73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1">
        <v>45977</v>
      </c>
      <c r="B32" s="73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1">
        <v>45978</v>
      </c>
      <c r="B33" s="73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1">
        <v>45979</v>
      </c>
      <c r="B34" s="73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1">
        <v>45980</v>
      </c>
      <c r="B35" s="73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1">
        <v>45981</v>
      </c>
      <c r="B36" s="73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1">
        <v>45982</v>
      </c>
      <c r="B37" s="73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1">
        <v>45983</v>
      </c>
      <c r="B38" s="73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1">
        <v>45984</v>
      </c>
      <c r="B39" s="73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1">
        <v>45985</v>
      </c>
      <c r="B40" s="73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1">
        <v>45986</v>
      </c>
      <c r="B41" s="73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9" t="s">
        <v>196</v>
      </c>
      <c r="B42" s="60">
        <f t="shared" ref="B42:L42" si="4">SUM(B27:B41)</f>
        <v>0</v>
      </c>
      <c r="C42" s="60">
        <f t="shared" si="4"/>
        <v>0</v>
      </c>
      <c r="D42" s="60">
        <f t="shared" si="4"/>
        <v>0</v>
      </c>
      <c r="E42" s="60">
        <f t="shared" si="4"/>
        <v>0</v>
      </c>
      <c r="F42" s="60">
        <f t="shared" si="4"/>
        <v>0</v>
      </c>
      <c r="G42" s="60">
        <f t="shared" si="4"/>
        <v>0</v>
      </c>
      <c r="H42" s="60">
        <f t="shared" si="4"/>
        <v>0</v>
      </c>
      <c r="I42" s="60">
        <f t="shared" si="4"/>
        <v>0</v>
      </c>
      <c r="J42" s="60">
        <f t="shared" si="4"/>
        <v>0</v>
      </c>
      <c r="K42" s="60">
        <f t="shared" si="4"/>
        <v>0</v>
      </c>
      <c r="L42" s="60">
        <f t="shared" si="4"/>
        <v>0</v>
      </c>
      <c r="M42" s="76"/>
    </row>
    <row r="43" spans="1:26" ht="14.25" customHeight="1" x14ac:dyDescent="0.3">
      <c r="A43" s="54" t="s">
        <v>197</v>
      </c>
      <c r="B43" s="55">
        <f>B24+B42</f>
        <v>0</v>
      </c>
      <c r="C43" s="55">
        <f t="shared" ref="C43:L43" si="5">SUM(C24,C42)</f>
        <v>0</v>
      </c>
      <c r="D43" s="55">
        <f t="shared" si="5"/>
        <v>0</v>
      </c>
      <c r="E43" s="55">
        <f t="shared" si="5"/>
        <v>0</v>
      </c>
      <c r="F43" s="55">
        <f t="shared" si="5"/>
        <v>0</v>
      </c>
      <c r="G43" s="55">
        <f t="shared" si="5"/>
        <v>0</v>
      </c>
      <c r="H43" s="55">
        <f t="shared" si="5"/>
        <v>0</v>
      </c>
      <c r="I43" s="55">
        <f t="shared" si="5"/>
        <v>0</v>
      </c>
      <c r="J43" s="55">
        <f t="shared" si="5"/>
        <v>0</v>
      </c>
      <c r="K43" s="55">
        <f t="shared" si="5"/>
        <v>0</v>
      </c>
      <c r="L43" s="55">
        <f t="shared" si="5"/>
        <v>0</v>
      </c>
      <c r="M43" s="57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4.25" customHeight="1" x14ac:dyDescent="0.3">
      <c r="A44" s="48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64"/>
    </row>
    <row r="45" spans="1:26" ht="14.25" customHeight="1" x14ac:dyDescent="0.3">
      <c r="A45" s="61" t="s">
        <v>199</v>
      </c>
      <c r="B45" s="44" t="s">
        <v>195</v>
      </c>
      <c r="C45" s="44" t="s">
        <v>167</v>
      </c>
      <c r="D45" s="44" t="s">
        <v>169</v>
      </c>
      <c r="E45" s="44" t="s">
        <v>171</v>
      </c>
      <c r="F45" s="44" t="s">
        <v>173</v>
      </c>
      <c r="G45" s="44" t="s">
        <v>175</v>
      </c>
      <c r="H45" s="44" t="s">
        <v>177</v>
      </c>
      <c r="I45" s="44" t="s">
        <v>179</v>
      </c>
      <c r="J45" s="44" t="s">
        <v>181</v>
      </c>
      <c r="K45" s="44" t="s">
        <v>183</v>
      </c>
      <c r="L45" s="44" t="s">
        <v>185</v>
      </c>
      <c r="M45" s="77" t="s">
        <v>205</v>
      </c>
    </row>
    <row r="46" spans="1:26" ht="14.25" customHeight="1" x14ac:dyDescent="0.3">
      <c r="A46" s="51">
        <v>45987</v>
      </c>
      <c r="B46" s="73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1">
        <v>45988</v>
      </c>
      <c r="B47" s="73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1">
        <v>45989</v>
      </c>
      <c r="B48" s="73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1">
        <v>45990</v>
      </c>
      <c r="B49" s="73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1">
        <v>45991</v>
      </c>
      <c r="B50" s="73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1">
        <v>45992</v>
      </c>
      <c r="B51" s="73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1">
        <v>45993</v>
      </c>
      <c r="B52" s="73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1">
        <v>45994</v>
      </c>
      <c r="B53" s="73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1">
        <v>45995</v>
      </c>
      <c r="B54" s="73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1">
        <v>45996</v>
      </c>
      <c r="B55" s="73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1">
        <v>45997</v>
      </c>
      <c r="B56" s="73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1">
        <v>45998</v>
      </c>
      <c r="B57" s="73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1">
        <v>45999</v>
      </c>
      <c r="B58" s="73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1">
        <v>46000</v>
      </c>
      <c r="B59" s="73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1">
        <v>46001</v>
      </c>
      <c r="B60" s="73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2" t="s">
        <v>196</v>
      </c>
      <c r="B61" s="63">
        <f t="shared" ref="B61:L61" si="7">SUM(B46:B60)</f>
        <v>0</v>
      </c>
      <c r="C61" s="63">
        <f t="shared" si="7"/>
        <v>0</v>
      </c>
      <c r="D61" s="63">
        <f t="shared" si="7"/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8"/>
    </row>
    <row r="62" spans="1:26" ht="14.25" customHeight="1" x14ac:dyDescent="0.3">
      <c r="A62" s="54" t="s">
        <v>197</v>
      </c>
      <c r="B62" s="55">
        <f>B43+B61</f>
        <v>0</v>
      </c>
      <c r="C62" s="55">
        <f t="shared" ref="C62:L62" si="8">SUM(C43,C61)</f>
        <v>0</v>
      </c>
      <c r="D62" s="55">
        <f t="shared" si="8"/>
        <v>0</v>
      </c>
      <c r="E62" s="55">
        <f t="shared" si="8"/>
        <v>0</v>
      </c>
      <c r="F62" s="55">
        <f t="shared" si="8"/>
        <v>0</v>
      </c>
      <c r="G62" s="55">
        <f t="shared" si="8"/>
        <v>0</v>
      </c>
      <c r="H62" s="55">
        <f t="shared" si="8"/>
        <v>0</v>
      </c>
      <c r="I62" s="55">
        <f t="shared" si="8"/>
        <v>0</v>
      </c>
      <c r="J62" s="55">
        <f t="shared" si="8"/>
        <v>0</v>
      </c>
      <c r="K62" s="55">
        <f t="shared" si="8"/>
        <v>0</v>
      </c>
      <c r="L62" s="55">
        <f t="shared" si="8"/>
        <v>0</v>
      </c>
      <c r="M62" s="57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4.25" customHeight="1" x14ac:dyDescent="0.3">
      <c r="A63" s="48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64"/>
    </row>
    <row r="64" spans="1:26" ht="14.25" customHeight="1" x14ac:dyDescent="0.3">
      <c r="A64" s="48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64"/>
    </row>
    <row r="65" spans="1:13" ht="14.25" customHeight="1" x14ac:dyDescent="0.3">
      <c r="A65" s="48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64"/>
    </row>
    <row r="66" spans="1:13" ht="14.25" customHeight="1" x14ac:dyDescent="0.3">
      <c r="A66" s="48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64"/>
    </row>
    <row r="67" spans="1:13" ht="14.25" customHeight="1" x14ac:dyDescent="0.3">
      <c r="A67" s="48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64"/>
    </row>
    <row r="68" spans="1:13" ht="14.25" customHeight="1" x14ac:dyDescent="0.3">
      <c r="A68" s="48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64"/>
    </row>
    <row r="69" spans="1:13" ht="14.25" customHeight="1" x14ac:dyDescent="0.3">
      <c r="A69" s="48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64"/>
    </row>
    <row r="70" spans="1:13" ht="14.25" customHeight="1" x14ac:dyDescent="0.3">
      <c r="A70" s="48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64"/>
    </row>
    <row r="71" spans="1:13" ht="14.25" customHeight="1" x14ac:dyDescent="0.3">
      <c r="A71" s="48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64"/>
    </row>
    <row r="72" spans="1:13" ht="14.25" customHeight="1" x14ac:dyDescent="0.3">
      <c r="A72" s="48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64"/>
    </row>
    <row r="73" spans="1:13" ht="14.25" customHeight="1" x14ac:dyDescent="0.3">
      <c r="A73" s="48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64"/>
    </row>
    <row r="74" spans="1:13" ht="14.25" customHeight="1" x14ac:dyDescent="0.3">
      <c r="A74" s="48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64"/>
    </row>
    <row r="75" spans="1:13" ht="14.25" customHeight="1" x14ac:dyDescent="0.3">
      <c r="A75" s="48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64"/>
    </row>
    <row r="76" spans="1:13" ht="14.25" customHeight="1" x14ac:dyDescent="0.3">
      <c r="A76" s="48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64"/>
    </row>
    <row r="77" spans="1:13" ht="14.25" customHeight="1" x14ac:dyDescent="0.3">
      <c r="A77" s="48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64"/>
    </row>
    <row r="78" spans="1:13" ht="14.25" customHeight="1" x14ac:dyDescent="0.3">
      <c r="A78" s="48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64"/>
    </row>
    <row r="79" spans="1:13" ht="14.25" customHeight="1" x14ac:dyDescent="0.3">
      <c r="A79" s="48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64"/>
    </row>
    <row r="80" spans="1:13" ht="14.25" customHeight="1" x14ac:dyDescent="0.3">
      <c r="A80" s="48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64"/>
    </row>
    <row r="81" spans="1:13" ht="14.25" customHeight="1" x14ac:dyDescent="0.3">
      <c r="A81" s="48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64"/>
    </row>
    <row r="82" spans="1:13" ht="14.25" customHeight="1" x14ac:dyDescent="0.3">
      <c r="A82" s="48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64"/>
    </row>
    <row r="83" spans="1:13" ht="14.25" customHeight="1" x14ac:dyDescent="0.3">
      <c r="A83" s="48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64"/>
    </row>
    <row r="84" spans="1:13" ht="14.25" customHeight="1" x14ac:dyDescent="0.3">
      <c r="A84" s="48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64"/>
    </row>
    <row r="85" spans="1:13" ht="14.25" customHeight="1" x14ac:dyDescent="0.3">
      <c r="A85" s="48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64"/>
    </row>
    <row r="86" spans="1:13" ht="14.25" customHeight="1" x14ac:dyDescent="0.3">
      <c r="A86" s="48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64"/>
    </row>
    <row r="87" spans="1:13" ht="14.25" customHeight="1" x14ac:dyDescent="0.3">
      <c r="A87" s="48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64"/>
    </row>
    <row r="88" spans="1:13" ht="14.25" customHeight="1" x14ac:dyDescent="0.3">
      <c r="A88" s="48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64"/>
    </row>
    <row r="89" spans="1:13" ht="14.25" customHeight="1" x14ac:dyDescent="0.3">
      <c r="A89" s="48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64"/>
    </row>
    <row r="90" spans="1:13" ht="14.25" customHeight="1" x14ac:dyDescent="0.3">
      <c r="A90" s="48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64"/>
    </row>
    <row r="91" spans="1:13" ht="14.25" customHeight="1" x14ac:dyDescent="0.3">
      <c r="A91" s="48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64"/>
    </row>
    <row r="92" spans="1:13" ht="14.25" customHeight="1" x14ac:dyDescent="0.3">
      <c r="A92" s="48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64"/>
    </row>
    <row r="93" spans="1:13" ht="14.25" customHeight="1" x14ac:dyDescent="0.3">
      <c r="A93" s="48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64"/>
    </row>
    <row r="94" spans="1:13" ht="14.25" customHeight="1" x14ac:dyDescent="0.3">
      <c r="A94" s="48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64"/>
    </row>
    <row r="95" spans="1:13" ht="14.25" customHeight="1" x14ac:dyDescent="0.3">
      <c r="A95" s="48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64"/>
    </row>
    <row r="96" spans="1:13" ht="14.25" customHeight="1" x14ac:dyDescent="0.3">
      <c r="A96" s="48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64"/>
    </row>
    <row r="97" spans="1:13" ht="14.25" customHeight="1" x14ac:dyDescent="0.3">
      <c r="A97" s="48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64"/>
    </row>
    <row r="98" spans="1:13" ht="14.25" customHeight="1" x14ac:dyDescent="0.3">
      <c r="A98" s="48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64"/>
    </row>
    <row r="99" spans="1:13" ht="14.25" customHeight="1" x14ac:dyDescent="0.3">
      <c r="A99" s="48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64"/>
    </row>
    <row r="100" spans="1:13" ht="14.25" customHeight="1" x14ac:dyDescent="0.3">
      <c r="A100" s="48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64"/>
    </row>
    <row r="101" spans="1:13" ht="14.25" customHeight="1" x14ac:dyDescent="0.3">
      <c r="A101" s="48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64"/>
    </row>
    <row r="102" spans="1:13" ht="14.25" customHeight="1" x14ac:dyDescent="0.3">
      <c r="A102" s="48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64"/>
    </row>
    <row r="103" spans="1:13" ht="14.25" customHeight="1" x14ac:dyDescent="0.3">
      <c r="A103" s="48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64"/>
    </row>
    <row r="104" spans="1:13" ht="14.25" customHeight="1" x14ac:dyDescent="0.3">
      <c r="A104" s="48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64"/>
    </row>
    <row r="105" spans="1:13" ht="14.25" customHeight="1" x14ac:dyDescent="0.3">
      <c r="A105" s="48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64"/>
    </row>
    <row r="106" spans="1:13" ht="14.25" customHeight="1" x14ac:dyDescent="0.3">
      <c r="A106" s="48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64"/>
    </row>
    <row r="107" spans="1:13" ht="14.25" customHeight="1" x14ac:dyDescent="0.3">
      <c r="A107" s="48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64"/>
    </row>
    <row r="108" spans="1:13" ht="14.25" customHeight="1" x14ac:dyDescent="0.3">
      <c r="A108" s="48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64"/>
    </row>
    <row r="109" spans="1:13" ht="14.25" customHeight="1" x14ac:dyDescent="0.3">
      <c r="A109" s="48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64"/>
    </row>
    <row r="110" spans="1:13" ht="14.25" customHeight="1" x14ac:dyDescent="0.3">
      <c r="A110" s="48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64"/>
    </row>
    <row r="111" spans="1:13" ht="14.25" customHeight="1" x14ac:dyDescent="0.3">
      <c r="A111" s="48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64"/>
    </row>
    <row r="112" spans="1:13" ht="14.25" customHeight="1" x14ac:dyDescent="0.3">
      <c r="A112" s="48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64"/>
    </row>
    <row r="113" spans="1:13" ht="14.25" customHeight="1" x14ac:dyDescent="0.3">
      <c r="A113" s="48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64"/>
    </row>
    <row r="114" spans="1:13" ht="14.25" customHeight="1" x14ac:dyDescent="0.3">
      <c r="A114" s="48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64"/>
    </row>
    <row r="115" spans="1:13" ht="14.25" customHeight="1" x14ac:dyDescent="0.3">
      <c r="A115" s="48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64"/>
    </row>
    <row r="116" spans="1:13" ht="14.25" customHeight="1" x14ac:dyDescent="0.3">
      <c r="A116" s="48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64"/>
    </row>
    <row r="117" spans="1:13" ht="14.25" customHeight="1" x14ac:dyDescent="0.3">
      <c r="A117" s="48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64"/>
    </row>
    <row r="118" spans="1:13" ht="14.25" customHeight="1" x14ac:dyDescent="0.3">
      <c r="A118" s="48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64"/>
    </row>
    <row r="119" spans="1:13" ht="14.25" customHeight="1" x14ac:dyDescent="0.3">
      <c r="A119" s="48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64"/>
    </row>
    <row r="120" spans="1:13" ht="14.25" customHeight="1" x14ac:dyDescent="0.3">
      <c r="A120" s="48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64"/>
    </row>
    <row r="121" spans="1:13" ht="14.25" customHeight="1" x14ac:dyDescent="0.3">
      <c r="A121" s="48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64"/>
    </row>
    <row r="122" spans="1:13" ht="14.25" customHeight="1" x14ac:dyDescent="0.3">
      <c r="A122" s="48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64"/>
    </row>
    <row r="123" spans="1:13" ht="14.25" customHeight="1" x14ac:dyDescent="0.3">
      <c r="A123" s="48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64"/>
    </row>
    <row r="124" spans="1:13" ht="14.25" customHeight="1" x14ac:dyDescent="0.3">
      <c r="A124" s="48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64"/>
    </row>
    <row r="125" spans="1:13" ht="14.25" customHeight="1" x14ac:dyDescent="0.3">
      <c r="A125" s="48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64"/>
    </row>
    <row r="126" spans="1:13" ht="14.25" customHeight="1" x14ac:dyDescent="0.3">
      <c r="A126" s="48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64"/>
    </row>
    <row r="127" spans="1:13" ht="14.25" customHeight="1" x14ac:dyDescent="0.3">
      <c r="A127" s="48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64"/>
    </row>
    <row r="128" spans="1:13" ht="14.25" customHeight="1" x14ac:dyDescent="0.3">
      <c r="A128" s="48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64"/>
    </row>
    <row r="129" spans="1:13" ht="14.25" customHeight="1" x14ac:dyDescent="0.3">
      <c r="A129" s="48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64"/>
    </row>
    <row r="130" spans="1:13" ht="14.25" customHeight="1" x14ac:dyDescent="0.3">
      <c r="A130" s="48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64"/>
    </row>
    <row r="131" spans="1:13" ht="14.25" customHeight="1" x14ac:dyDescent="0.3">
      <c r="A131" s="48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64"/>
    </row>
    <row r="132" spans="1:13" ht="14.25" customHeight="1" x14ac:dyDescent="0.3">
      <c r="A132" s="48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64"/>
    </row>
    <row r="133" spans="1:13" ht="14.25" customHeight="1" x14ac:dyDescent="0.3">
      <c r="A133" s="48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64"/>
    </row>
    <row r="134" spans="1:13" ht="14.25" customHeight="1" x14ac:dyDescent="0.3">
      <c r="A134" s="48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64"/>
    </row>
    <row r="135" spans="1:13" ht="14.25" customHeight="1" x14ac:dyDescent="0.3">
      <c r="A135" s="48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64"/>
    </row>
    <row r="136" spans="1:13" ht="14.25" customHeight="1" x14ac:dyDescent="0.3">
      <c r="A136" s="48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64"/>
    </row>
    <row r="137" spans="1:13" ht="14.25" customHeight="1" x14ac:dyDescent="0.3">
      <c r="A137" s="48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64"/>
    </row>
    <row r="138" spans="1:13" ht="14.25" customHeight="1" x14ac:dyDescent="0.3">
      <c r="A138" s="48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64"/>
    </row>
    <row r="139" spans="1:13" ht="14.25" customHeight="1" x14ac:dyDescent="0.3">
      <c r="A139" s="48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64"/>
    </row>
    <row r="140" spans="1:13" ht="14.25" customHeight="1" x14ac:dyDescent="0.3">
      <c r="A140" s="48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64"/>
    </row>
    <row r="141" spans="1:13" ht="14.25" customHeight="1" x14ac:dyDescent="0.3">
      <c r="A141" s="48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64"/>
    </row>
    <row r="142" spans="1:13" ht="14.25" customHeight="1" x14ac:dyDescent="0.3">
      <c r="A142" s="48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64"/>
    </row>
    <row r="143" spans="1:13" ht="14.25" customHeight="1" x14ac:dyDescent="0.3">
      <c r="A143" s="48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64"/>
    </row>
    <row r="144" spans="1:13" ht="14.25" customHeight="1" x14ac:dyDescent="0.3">
      <c r="A144" s="48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64"/>
    </row>
    <row r="145" spans="1:13" ht="14.25" customHeight="1" x14ac:dyDescent="0.3">
      <c r="A145" s="48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64"/>
    </row>
    <row r="146" spans="1:13" ht="14.25" customHeight="1" x14ac:dyDescent="0.3">
      <c r="A146" s="48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64"/>
    </row>
    <row r="147" spans="1:13" ht="14.25" customHeight="1" x14ac:dyDescent="0.3">
      <c r="A147" s="48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64"/>
    </row>
    <row r="148" spans="1:13" ht="14.25" customHeight="1" x14ac:dyDescent="0.3">
      <c r="A148" s="48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64"/>
    </row>
    <row r="149" spans="1:13" ht="14.25" customHeight="1" x14ac:dyDescent="0.3">
      <c r="A149" s="48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64"/>
    </row>
    <row r="150" spans="1:13" ht="14.25" customHeight="1" x14ac:dyDescent="0.3">
      <c r="A150" s="48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64"/>
    </row>
    <row r="151" spans="1:13" ht="14.25" customHeight="1" x14ac:dyDescent="0.3">
      <c r="A151" s="48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64"/>
    </row>
    <row r="152" spans="1:13" ht="14.25" customHeight="1" x14ac:dyDescent="0.3">
      <c r="A152" s="48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64"/>
    </row>
    <row r="153" spans="1:13" ht="14.25" customHeight="1" x14ac:dyDescent="0.3">
      <c r="A153" s="48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64"/>
    </row>
    <row r="154" spans="1:13" ht="14.25" customHeight="1" x14ac:dyDescent="0.3">
      <c r="A154" s="48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64"/>
    </row>
    <row r="155" spans="1:13" ht="14.25" customHeight="1" x14ac:dyDescent="0.3">
      <c r="A155" s="48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64"/>
    </row>
    <row r="156" spans="1:13" ht="14.25" customHeight="1" x14ac:dyDescent="0.3">
      <c r="A156" s="48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64"/>
    </row>
    <row r="157" spans="1:13" ht="14.25" customHeight="1" x14ac:dyDescent="0.3">
      <c r="A157" s="48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64"/>
    </row>
    <row r="158" spans="1:13" ht="14.25" customHeight="1" x14ac:dyDescent="0.3">
      <c r="A158" s="48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64"/>
    </row>
    <row r="159" spans="1:13" ht="14.25" customHeight="1" x14ac:dyDescent="0.3">
      <c r="A159" s="48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64"/>
    </row>
    <row r="160" spans="1:13" ht="14.25" customHeight="1" x14ac:dyDescent="0.3">
      <c r="A160" s="48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64"/>
    </row>
    <row r="161" spans="1:13" ht="14.25" customHeight="1" x14ac:dyDescent="0.3">
      <c r="A161" s="48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64"/>
    </row>
    <row r="162" spans="1:13" ht="14.25" customHeight="1" x14ac:dyDescent="0.3">
      <c r="A162" s="48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64"/>
    </row>
    <row r="163" spans="1:13" ht="14.25" customHeight="1" x14ac:dyDescent="0.3">
      <c r="A163" s="48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64"/>
    </row>
    <row r="164" spans="1:13" ht="14.25" customHeight="1" x14ac:dyDescent="0.3">
      <c r="A164" s="48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64"/>
    </row>
    <row r="165" spans="1:13" ht="14.25" customHeight="1" x14ac:dyDescent="0.3">
      <c r="A165" s="48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64"/>
    </row>
    <row r="166" spans="1:13" ht="14.25" customHeight="1" x14ac:dyDescent="0.3">
      <c r="A166" s="48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64"/>
    </row>
    <row r="167" spans="1:13" ht="14.25" customHeight="1" x14ac:dyDescent="0.3">
      <c r="A167" s="48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64"/>
    </row>
    <row r="168" spans="1:13" ht="14.25" customHeight="1" x14ac:dyDescent="0.3">
      <c r="A168" s="48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64"/>
    </row>
    <row r="169" spans="1:13" ht="14.25" customHeight="1" x14ac:dyDescent="0.3">
      <c r="A169" s="48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64"/>
    </row>
    <row r="170" spans="1:13" ht="14.25" customHeight="1" x14ac:dyDescent="0.3">
      <c r="A170" s="48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64"/>
    </row>
    <row r="171" spans="1:13" ht="14.25" customHeight="1" x14ac:dyDescent="0.3">
      <c r="A171" s="48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64"/>
    </row>
    <row r="172" spans="1:13" ht="14.25" customHeight="1" x14ac:dyDescent="0.3">
      <c r="A172" s="48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64"/>
    </row>
    <row r="173" spans="1:13" ht="14.25" customHeight="1" x14ac:dyDescent="0.3">
      <c r="A173" s="48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64"/>
    </row>
    <row r="174" spans="1:13" ht="14.25" customHeight="1" x14ac:dyDescent="0.3">
      <c r="A174" s="48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64"/>
    </row>
    <row r="175" spans="1:13" ht="14.25" customHeight="1" x14ac:dyDescent="0.3">
      <c r="A175" s="48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64"/>
    </row>
    <row r="176" spans="1:13" ht="14.25" customHeight="1" x14ac:dyDescent="0.3">
      <c r="A176" s="48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64"/>
    </row>
    <row r="177" spans="1:13" ht="14.25" customHeight="1" x14ac:dyDescent="0.3">
      <c r="A177" s="48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64"/>
    </row>
    <row r="178" spans="1:13" ht="14.25" customHeight="1" x14ac:dyDescent="0.3">
      <c r="A178" s="48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64"/>
    </row>
    <row r="179" spans="1:13" ht="14.25" customHeight="1" x14ac:dyDescent="0.3">
      <c r="A179" s="48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64"/>
    </row>
    <row r="180" spans="1:13" ht="14.25" customHeight="1" x14ac:dyDescent="0.3">
      <c r="A180" s="48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64"/>
    </row>
    <row r="181" spans="1:13" ht="14.25" customHeight="1" x14ac:dyDescent="0.3">
      <c r="A181" s="48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64"/>
    </row>
    <row r="182" spans="1:13" ht="14.25" customHeight="1" x14ac:dyDescent="0.3">
      <c r="A182" s="48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64"/>
    </row>
    <row r="183" spans="1:13" ht="14.25" customHeight="1" x14ac:dyDescent="0.3">
      <c r="A183" s="48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64"/>
    </row>
    <row r="184" spans="1:13" ht="14.25" customHeight="1" x14ac:dyDescent="0.3">
      <c r="A184" s="48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64"/>
    </row>
    <row r="185" spans="1:13" ht="14.25" customHeight="1" x14ac:dyDescent="0.3">
      <c r="A185" s="48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64"/>
    </row>
    <row r="186" spans="1:13" ht="14.25" customHeight="1" x14ac:dyDescent="0.3">
      <c r="A186" s="48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64"/>
    </row>
    <row r="187" spans="1:13" ht="14.25" customHeight="1" x14ac:dyDescent="0.3">
      <c r="A187" s="48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64"/>
    </row>
    <row r="188" spans="1:13" ht="14.25" customHeight="1" x14ac:dyDescent="0.3">
      <c r="A188" s="48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64"/>
    </row>
    <row r="189" spans="1:13" ht="14.25" customHeight="1" x14ac:dyDescent="0.3">
      <c r="A189" s="48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64"/>
    </row>
    <row r="190" spans="1:13" ht="14.25" customHeight="1" x14ac:dyDescent="0.3">
      <c r="A190" s="48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64"/>
    </row>
    <row r="191" spans="1:13" ht="14.25" customHeight="1" x14ac:dyDescent="0.3">
      <c r="A191" s="48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64"/>
    </row>
    <row r="192" spans="1:13" ht="14.25" customHeight="1" x14ac:dyDescent="0.3">
      <c r="A192" s="48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64"/>
    </row>
    <row r="193" spans="1:13" ht="14.25" customHeight="1" x14ac:dyDescent="0.3">
      <c r="A193" s="48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64"/>
    </row>
    <row r="194" spans="1:13" ht="14.25" customHeight="1" x14ac:dyDescent="0.3">
      <c r="A194" s="48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64"/>
    </row>
    <row r="195" spans="1:13" ht="14.25" customHeight="1" x14ac:dyDescent="0.3">
      <c r="A195" s="48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64"/>
    </row>
    <row r="196" spans="1:13" ht="14.25" customHeight="1" x14ac:dyDescent="0.3">
      <c r="A196" s="48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64"/>
    </row>
    <row r="197" spans="1:13" ht="14.25" customHeight="1" x14ac:dyDescent="0.3">
      <c r="A197" s="48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64"/>
    </row>
    <row r="198" spans="1:13" ht="14.25" customHeight="1" x14ac:dyDescent="0.3">
      <c r="A198" s="48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64"/>
    </row>
    <row r="199" spans="1:13" ht="14.25" customHeight="1" x14ac:dyDescent="0.3">
      <c r="A199" s="48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64"/>
    </row>
    <row r="200" spans="1:13" ht="14.25" customHeight="1" x14ac:dyDescent="0.3">
      <c r="A200" s="48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64"/>
    </row>
    <row r="201" spans="1:13" ht="14.25" customHeight="1" x14ac:dyDescent="0.3">
      <c r="A201" s="48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64"/>
    </row>
    <row r="202" spans="1:13" ht="14.25" customHeight="1" x14ac:dyDescent="0.3">
      <c r="A202" s="48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64"/>
    </row>
    <row r="203" spans="1:13" ht="14.25" customHeight="1" x14ac:dyDescent="0.3">
      <c r="A203" s="48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64"/>
    </row>
    <row r="204" spans="1:13" ht="14.25" customHeight="1" x14ac:dyDescent="0.3">
      <c r="A204" s="48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64"/>
    </row>
    <row r="205" spans="1:13" ht="14.25" customHeight="1" x14ac:dyDescent="0.3">
      <c r="A205" s="48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64"/>
    </row>
    <row r="206" spans="1:13" ht="14.25" customHeight="1" x14ac:dyDescent="0.3">
      <c r="A206" s="48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64"/>
    </row>
    <row r="207" spans="1:13" ht="14.25" customHeight="1" x14ac:dyDescent="0.3">
      <c r="A207" s="48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64"/>
    </row>
    <row r="208" spans="1:13" ht="14.25" customHeight="1" x14ac:dyDescent="0.3">
      <c r="A208" s="48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64"/>
    </row>
    <row r="209" spans="1:13" ht="14.25" customHeight="1" x14ac:dyDescent="0.3">
      <c r="A209" s="48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64"/>
    </row>
    <row r="210" spans="1:13" ht="14.25" customHeight="1" x14ac:dyDescent="0.3">
      <c r="A210" s="48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64"/>
    </row>
    <row r="211" spans="1:13" ht="14.25" customHeight="1" x14ac:dyDescent="0.3">
      <c r="A211" s="48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64"/>
    </row>
    <row r="212" spans="1:13" ht="14.25" customHeight="1" x14ac:dyDescent="0.3">
      <c r="A212" s="48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64"/>
    </row>
    <row r="213" spans="1:13" ht="14.25" customHeight="1" x14ac:dyDescent="0.3">
      <c r="A213" s="48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64"/>
    </row>
    <row r="214" spans="1:13" ht="14.25" customHeight="1" x14ac:dyDescent="0.3">
      <c r="A214" s="48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64"/>
    </row>
    <row r="215" spans="1:13" ht="14.25" customHeight="1" x14ac:dyDescent="0.3">
      <c r="A215" s="48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64"/>
    </row>
    <row r="216" spans="1:13" ht="14.25" customHeight="1" x14ac:dyDescent="0.3">
      <c r="A216" s="48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64"/>
    </row>
    <row r="217" spans="1:13" ht="14.25" customHeight="1" x14ac:dyDescent="0.3">
      <c r="A217" s="48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64"/>
    </row>
    <row r="218" spans="1:13" ht="14.25" customHeight="1" x14ac:dyDescent="0.3">
      <c r="A218" s="48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64"/>
    </row>
    <row r="219" spans="1:13" ht="14.25" customHeight="1" x14ac:dyDescent="0.3">
      <c r="A219" s="48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64"/>
    </row>
    <row r="220" spans="1:13" ht="14.25" customHeight="1" x14ac:dyDescent="0.3">
      <c r="A220" s="48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64"/>
    </row>
    <row r="221" spans="1:13" ht="14.25" customHeight="1" x14ac:dyDescent="0.3">
      <c r="A221" s="48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64"/>
    </row>
    <row r="222" spans="1:13" ht="14.25" customHeight="1" x14ac:dyDescent="0.3">
      <c r="A222" s="48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64"/>
    </row>
    <row r="223" spans="1:13" ht="14.25" customHeight="1" x14ac:dyDescent="0.3">
      <c r="A223" s="48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64"/>
    </row>
    <row r="224" spans="1:13" ht="14.25" customHeight="1" x14ac:dyDescent="0.3">
      <c r="A224" s="48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64"/>
    </row>
    <row r="225" spans="1:13" ht="14.25" customHeight="1" x14ac:dyDescent="0.3">
      <c r="A225" s="48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64"/>
    </row>
    <row r="226" spans="1:13" ht="14.25" customHeight="1" x14ac:dyDescent="0.3">
      <c r="A226" s="48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64"/>
    </row>
    <row r="227" spans="1:13" ht="14.25" customHeight="1" x14ac:dyDescent="0.3">
      <c r="A227" s="48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64"/>
    </row>
    <row r="228" spans="1:13" ht="14.25" customHeight="1" x14ac:dyDescent="0.3">
      <c r="A228" s="48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64"/>
    </row>
    <row r="229" spans="1:13" ht="14.25" customHeight="1" x14ac:dyDescent="0.3">
      <c r="A229" s="48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64"/>
    </row>
    <row r="230" spans="1:13" ht="14.25" customHeight="1" x14ac:dyDescent="0.3">
      <c r="A230" s="48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64"/>
    </row>
    <row r="231" spans="1:13" ht="14.25" customHeight="1" x14ac:dyDescent="0.3">
      <c r="A231" s="48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64"/>
    </row>
    <row r="232" spans="1:13" ht="14.25" customHeight="1" x14ac:dyDescent="0.3">
      <c r="A232" s="48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64"/>
    </row>
    <row r="233" spans="1:13" ht="14.25" customHeight="1" x14ac:dyDescent="0.3">
      <c r="A233" s="48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64"/>
    </row>
    <row r="234" spans="1:13" ht="14.25" customHeight="1" x14ac:dyDescent="0.3">
      <c r="A234" s="48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64"/>
    </row>
    <row r="235" spans="1:13" ht="14.25" customHeight="1" x14ac:dyDescent="0.3">
      <c r="A235" s="48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64"/>
    </row>
    <row r="236" spans="1:13" ht="14.25" customHeight="1" x14ac:dyDescent="0.3">
      <c r="A236" s="48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64"/>
    </row>
    <row r="237" spans="1:13" ht="14.25" customHeight="1" x14ac:dyDescent="0.3">
      <c r="A237" s="48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64"/>
    </row>
    <row r="238" spans="1:13" ht="14.25" customHeight="1" x14ac:dyDescent="0.3">
      <c r="A238" s="48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64"/>
    </row>
    <row r="239" spans="1:13" ht="14.25" customHeight="1" x14ac:dyDescent="0.3">
      <c r="A239" s="48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64"/>
    </row>
    <row r="240" spans="1:13" ht="14.25" customHeight="1" x14ac:dyDescent="0.3">
      <c r="A240" s="48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64"/>
    </row>
    <row r="241" spans="1:13" ht="14.25" customHeight="1" x14ac:dyDescent="0.3">
      <c r="A241" s="48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64"/>
    </row>
    <row r="242" spans="1:13" ht="14.25" customHeight="1" x14ac:dyDescent="0.3">
      <c r="A242" s="48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64"/>
    </row>
    <row r="243" spans="1:13" ht="14.25" customHeight="1" x14ac:dyDescent="0.3">
      <c r="A243" s="48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64"/>
    </row>
    <row r="244" spans="1:13" ht="14.25" customHeight="1" x14ac:dyDescent="0.3">
      <c r="A244" s="48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64"/>
    </row>
    <row r="245" spans="1:13" ht="14.25" customHeight="1" x14ac:dyDescent="0.3">
      <c r="A245" s="48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64"/>
    </row>
    <row r="246" spans="1:13" ht="14.25" customHeight="1" x14ac:dyDescent="0.3">
      <c r="A246" s="48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64"/>
    </row>
    <row r="247" spans="1:13" ht="14.25" customHeight="1" x14ac:dyDescent="0.3">
      <c r="A247" s="48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64"/>
    </row>
    <row r="248" spans="1:13" ht="14.25" customHeight="1" x14ac:dyDescent="0.3">
      <c r="A248" s="48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64"/>
    </row>
    <row r="249" spans="1:13" ht="14.25" customHeight="1" x14ac:dyDescent="0.3">
      <c r="A249" s="48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64"/>
    </row>
    <row r="250" spans="1:13" ht="14.25" customHeight="1" x14ac:dyDescent="0.3">
      <c r="A250" s="48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64"/>
    </row>
    <row r="251" spans="1:13" ht="14.25" customHeight="1" x14ac:dyDescent="0.3">
      <c r="A251" s="48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64"/>
    </row>
    <row r="252" spans="1:13" ht="14.25" customHeight="1" x14ac:dyDescent="0.3">
      <c r="A252" s="48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64"/>
    </row>
    <row r="253" spans="1:13" ht="14.25" customHeight="1" x14ac:dyDescent="0.3">
      <c r="A253" s="48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64"/>
    </row>
    <row r="254" spans="1:13" ht="14.25" customHeight="1" x14ac:dyDescent="0.3">
      <c r="A254" s="48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64"/>
    </row>
    <row r="255" spans="1:13" ht="14.25" customHeight="1" x14ac:dyDescent="0.3">
      <c r="A255" s="48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64"/>
    </row>
    <row r="256" spans="1:13" ht="14.25" customHeight="1" x14ac:dyDescent="0.3">
      <c r="A256" s="48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64"/>
    </row>
    <row r="257" spans="1:13" ht="14.25" customHeight="1" x14ac:dyDescent="0.3">
      <c r="A257" s="48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64"/>
    </row>
    <row r="258" spans="1:13" ht="14.25" customHeight="1" x14ac:dyDescent="0.3">
      <c r="A258" s="48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64"/>
    </row>
    <row r="259" spans="1:13" ht="14.25" customHeight="1" x14ac:dyDescent="0.3">
      <c r="A259" s="48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64"/>
    </row>
    <row r="260" spans="1:13" ht="14.25" customHeight="1" x14ac:dyDescent="0.3">
      <c r="A260" s="48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64"/>
    </row>
    <row r="261" spans="1:13" ht="14.25" customHeight="1" x14ac:dyDescent="0.3">
      <c r="A261" s="48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64"/>
    </row>
    <row r="262" spans="1:13" ht="14.25" customHeight="1" x14ac:dyDescent="0.3">
      <c r="A262" s="48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64"/>
    </row>
    <row r="263" spans="1:13" ht="14.25" customHeight="1" x14ac:dyDescent="0.3">
      <c r="A263" s="48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64"/>
    </row>
    <row r="264" spans="1:13" ht="14.25" customHeight="1" x14ac:dyDescent="0.3">
      <c r="A264" s="48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64"/>
    </row>
    <row r="265" spans="1:13" ht="14.25" customHeight="1" x14ac:dyDescent="0.3">
      <c r="A265" s="48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64"/>
    </row>
    <row r="266" spans="1:13" ht="14.25" customHeight="1" x14ac:dyDescent="0.3">
      <c r="A266" s="48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64"/>
    </row>
    <row r="267" spans="1:13" ht="14.25" customHeight="1" x14ac:dyDescent="0.3">
      <c r="A267" s="48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64"/>
    </row>
    <row r="268" spans="1:13" ht="14.25" customHeight="1" x14ac:dyDescent="0.3">
      <c r="A268" s="48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64"/>
    </row>
    <row r="269" spans="1:13" ht="14.25" customHeight="1" x14ac:dyDescent="0.3">
      <c r="A269" s="48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64"/>
    </row>
    <row r="270" spans="1:13" ht="14.25" customHeight="1" x14ac:dyDescent="0.3">
      <c r="A270" s="48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64"/>
    </row>
    <row r="271" spans="1:13" ht="14.25" customHeight="1" x14ac:dyDescent="0.3">
      <c r="A271" s="48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64"/>
    </row>
    <row r="272" spans="1:13" ht="14.25" customHeight="1" x14ac:dyDescent="0.3">
      <c r="A272" s="48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64"/>
    </row>
    <row r="273" spans="1:13" ht="14.25" customHeight="1" x14ac:dyDescent="0.3">
      <c r="A273" s="48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64"/>
    </row>
    <row r="274" spans="1:13" ht="14.25" customHeight="1" x14ac:dyDescent="0.3">
      <c r="A274" s="48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64"/>
    </row>
    <row r="275" spans="1:13" ht="14.25" customHeight="1" x14ac:dyDescent="0.3">
      <c r="A275" s="48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64"/>
    </row>
    <row r="276" spans="1:13" ht="14.25" customHeight="1" x14ac:dyDescent="0.3">
      <c r="A276" s="48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64"/>
    </row>
    <row r="277" spans="1:13" ht="14.25" customHeight="1" x14ac:dyDescent="0.3">
      <c r="A277" s="48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64"/>
    </row>
    <row r="278" spans="1:13" ht="14.25" customHeight="1" x14ac:dyDescent="0.3">
      <c r="A278" s="48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64"/>
    </row>
    <row r="279" spans="1:13" ht="14.25" customHeight="1" x14ac:dyDescent="0.3">
      <c r="A279" s="48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64"/>
    </row>
    <row r="280" spans="1:13" ht="14.25" customHeight="1" x14ac:dyDescent="0.3">
      <c r="A280" s="48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64"/>
    </row>
    <row r="281" spans="1:13" ht="14.25" customHeight="1" x14ac:dyDescent="0.3">
      <c r="A281" s="48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64"/>
    </row>
    <row r="282" spans="1:13" ht="14.25" customHeight="1" x14ac:dyDescent="0.3">
      <c r="A282" s="48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64"/>
    </row>
    <row r="283" spans="1:13" ht="14.25" customHeight="1" x14ac:dyDescent="0.3">
      <c r="A283" s="48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64"/>
    </row>
    <row r="284" spans="1:13" ht="14.25" customHeight="1" x14ac:dyDescent="0.3">
      <c r="A284" s="48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64"/>
    </row>
    <row r="285" spans="1:13" ht="14.25" customHeight="1" x14ac:dyDescent="0.3">
      <c r="A285" s="48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64"/>
    </row>
    <row r="286" spans="1:13" ht="14.25" customHeight="1" x14ac:dyDescent="0.3">
      <c r="A286" s="48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64"/>
    </row>
    <row r="287" spans="1:13" ht="14.25" customHeight="1" x14ac:dyDescent="0.3">
      <c r="A287" s="48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64"/>
    </row>
    <row r="288" spans="1:13" ht="14.25" customHeight="1" x14ac:dyDescent="0.3">
      <c r="A288" s="48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64"/>
    </row>
    <row r="289" spans="1:13" ht="14.25" customHeight="1" x14ac:dyDescent="0.3">
      <c r="A289" s="48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64"/>
    </row>
    <row r="290" spans="1:13" ht="14.25" customHeight="1" x14ac:dyDescent="0.3">
      <c r="A290" s="48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64"/>
    </row>
    <row r="291" spans="1:13" ht="14.25" customHeight="1" x14ac:dyDescent="0.3">
      <c r="A291" s="48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64"/>
    </row>
    <row r="292" spans="1:13" ht="14.25" customHeight="1" x14ac:dyDescent="0.3">
      <c r="A292" s="48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64"/>
    </row>
    <row r="293" spans="1:13" ht="14.25" customHeight="1" x14ac:dyDescent="0.3">
      <c r="A293" s="48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64"/>
    </row>
    <row r="294" spans="1:13" ht="14.25" customHeight="1" x14ac:dyDescent="0.3">
      <c r="A294" s="48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64"/>
    </row>
    <row r="295" spans="1:13" ht="14.25" customHeight="1" x14ac:dyDescent="0.3">
      <c r="A295" s="48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64"/>
    </row>
    <row r="296" spans="1:13" ht="14.25" customHeight="1" x14ac:dyDescent="0.3">
      <c r="A296" s="48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64"/>
    </row>
    <row r="297" spans="1:13" ht="14.25" customHeight="1" x14ac:dyDescent="0.3">
      <c r="A297" s="48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64"/>
    </row>
    <row r="298" spans="1:13" ht="14.25" customHeight="1" x14ac:dyDescent="0.3">
      <c r="A298" s="48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64"/>
    </row>
    <row r="299" spans="1:13" ht="14.25" customHeight="1" x14ac:dyDescent="0.3">
      <c r="A299" s="48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64"/>
    </row>
    <row r="300" spans="1:13" ht="14.25" customHeight="1" x14ac:dyDescent="0.3">
      <c r="A300" s="48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64"/>
    </row>
    <row r="301" spans="1:13" ht="14.25" customHeight="1" x14ac:dyDescent="0.3">
      <c r="A301" s="48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64"/>
    </row>
    <row r="302" spans="1:13" ht="14.25" customHeight="1" x14ac:dyDescent="0.3">
      <c r="A302" s="48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64"/>
    </row>
    <row r="303" spans="1:13" ht="14.25" customHeight="1" x14ac:dyDescent="0.3">
      <c r="A303" s="48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64"/>
    </row>
    <row r="304" spans="1:13" ht="14.25" customHeight="1" x14ac:dyDescent="0.3">
      <c r="A304" s="48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64"/>
    </row>
    <row r="305" spans="1:13" ht="14.25" customHeight="1" x14ac:dyDescent="0.3">
      <c r="A305" s="48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64"/>
    </row>
    <row r="306" spans="1:13" ht="14.25" customHeight="1" x14ac:dyDescent="0.3">
      <c r="A306" s="48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64"/>
    </row>
    <row r="307" spans="1:13" ht="14.25" customHeight="1" x14ac:dyDescent="0.3">
      <c r="A307" s="48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64"/>
    </row>
    <row r="308" spans="1:13" ht="14.25" customHeight="1" x14ac:dyDescent="0.3">
      <c r="A308" s="48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64"/>
    </row>
    <row r="309" spans="1:13" ht="14.25" customHeight="1" x14ac:dyDescent="0.3">
      <c r="A309" s="48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64"/>
    </row>
    <row r="310" spans="1:13" ht="14.25" customHeight="1" x14ac:dyDescent="0.3">
      <c r="A310" s="48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64"/>
    </row>
    <row r="311" spans="1:13" ht="14.25" customHeight="1" x14ac:dyDescent="0.3">
      <c r="A311" s="48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64"/>
    </row>
    <row r="312" spans="1:13" ht="14.25" customHeight="1" x14ac:dyDescent="0.3">
      <c r="A312" s="48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64"/>
    </row>
    <row r="313" spans="1:13" ht="14.25" customHeight="1" x14ac:dyDescent="0.3">
      <c r="A313" s="48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64"/>
    </row>
    <row r="314" spans="1:13" ht="14.25" customHeight="1" x14ac:dyDescent="0.3">
      <c r="A314" s="48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64"/>
    </row>
    <row r="315" spans="1:13" ht="14.25" customHeight="1" x14ac:dyDescent="0.3">
      <c r="A315" s="48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64"/>
    </row>
    <row r="316" spans="1:13" ht="14.25" customHeight="1" x14ac:dyDescent="0.3">
      <c r="A316" s="48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64"/>
    </row>
    <row r="317" spans="1:13" ht="14.25" customHeight="1" x14ac:dyDescent="0.3">
      <c r="A317" s="48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64"/>
    </row>
    <row r="318" spans="1:13" ht="14.25" customHeight="1" x14ac:dyDescent="0.3">
      <c r="A318" s="48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64"/>
    </row>
    <row r="319" spans="1:13" ht="14.25" customHeight="1" x14ac:dyDescent="0.3">
      <c r="A319" s="48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64"/>
    </row>
    <row r="320" spans="1:13" ht="14.25" customHeight="1" x14ac:dyDescent="0.3">
      <c r="A320" s="48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64"/>
    </row>
    <row r="321" spans="1:13" ht="14.25" customHeight="1" x14ac:dyDescent="0.3">
      <c r="A321" s="48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64"/>
    </row>
    <row r="322" spans="1:13" ht="14.25" customHeight="1" x14ac:dyDescent="0.3">
      <c r="A322" s="48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64"/>
    </row>
    <row r="323" spans="1:13" ht="14.25" customHeight="1" x14ac:dyDescent="0.3">
      <c r="A323" s="48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64"/>
    </row>
    <row r="324" spans="1:13" ht="14.25" customHeight="1" x14ac:dyDescent="0.3">
      <c r="A324" s="48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64"/>
    </row>
    <row r="325" spans="1:13" ht="14.25" customHeight="1" x14ac:dyDescent="0.3">
      <c r="A325" s="48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64"/>
    </row>
    <row r="326" spans="1:13" ht="14.25" customHeight="1" x14ac:dyDescent="0.3">
      <c r="A326" s="48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64"/>
    </row>
    <row r="327" spans="1:13" ht="14.25" customHeight="1" x14ac:dyDescent="0.3">
      <c r="A327" s="48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64"/>
    </row>
    <row r="328" spans="1:13" ht="14.25" customHeight="1" x14ac:dyDescent="0.3">
      <c r="A328" s="48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64"/>
    </row>
    <row r="329" spans="1:13" ht="14.25" customHeight="1" x14ac:dyDescent="0.3">
      <c r="A329" s="48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64"/>
    </row>
    <row r="330" spans="1:13" ht="14.25" customHeight="1" x14ac:dyDescent="0.3">
      <c r="A330" s="48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64"/>
    </row>
    <row r="331" spans="1:13" ht="14.25" customHeight="1" x14ac:dyDescent="0.3">
      <c r="A331" s="48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64"/>
    </row>
    <row r="332" spans="1:13" ht="14.25" customHeight="1" x14ac:dyDescent="0.3">
      <c r="A332" s="48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64"/>
    </row>
    <row r="333" spans="1:13" ht="14.25" customHeight="1" x14ac:dyDescent="0.3">
      <c r="A333" s="48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64"/>
    </row>
    <row r="334" spans="1:13" ht="14.25" customHeight="1" x14ac:dyDescent="0.3">
      <c r="A334" s="48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64"/>
    </row>
    <row r="335" spans="1:13" ht="14.25" customHeight="1" x14ac:dyDescent="0.3">
      <c r="A335" s="48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64"/>
    </row>
    <row r="336" spans="1:13" ht="14.25" customHeight="1" x14ac:dyDescent="0.3">
      <c r="A336" s="48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64"/>
    </row>
    <row r="337" spans="1:13" ht="14.25" customHeight="1" x14ac:dyDescent="0.3">
      <c r="A337" s="48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4"/>
    </row>
    <row r="338" spans="1:13" ht="14.25" customHeight="1" x14ac:dyDescent="0.3">
      <c r="A338" s="48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4"/>
    </row>
    <row r="339" spans="1:13" ht="14.25" customHeight="1" x14ac:dyDescent="0.3">
      <c r="A339" s="48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4"/>
    </row>
    <row r="340" spans="1:13" ht="14.25" customHeight="1" x14ac:dyDescent="0.3">
      <c r="A340" s="48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4"/>
    </row>
    <row r="341" spans="1:13" ht="14.25" customHeight="1" x14ac:dyDescent="0.3">
      <c r="A341" s="48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4"/>
    </row>
    <row r="342" spans="1:13" ht="14.25" customHeight="1" x14ac:dyDescent="0.3">
      <c r="A342" s="48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4"/>
    </row>
    <row r="343" spans="1:13" ht="14.25" customHeight="1" x14ac:dyDescent="0.3">
      <c r="A343" s="48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64"/>
    </row>
    <row r="344" spans="1:13" ht="14.25" customHeight="1" x14ac:dyDescent="0.3">
      <c r="A344" s="48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4"/>
    </row>
    <row r="345" spans="1:13" ht="14.25" customHeight="1" x14ac:dyDescent="0.3">
      <c r="A345" s="48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4"/>
    </row>
    <row r="346" spans="1:13" ht="14.25" customHeight="1" x14ac:dyDescent="0.3">
      <c r="A346" s="48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4"/>
    </row>
    <row r="347" spans="1:13" ht="14.25" customHeight="1" x14ac:dyDescent="0.3">
      <c r="A347" s="48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4"/>
    </row>
    <row r="348" spans="1:13" ht="14.25" customHeight="1" x14ac:dyDescent="0.3">
      <c r="A348" s="48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4"/>
    </row>
    <row r="349" spans="1:13" ht="14.25" customHeight="1" x14ac:dyDescent="0.3">
      <c r="A349" s="48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4"/>
    </row>
    <row r="350" spans="1:13" ht="14.25" customHeight="1" x14ac:dyDescent="0.3">
      <c r="A350" s="48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4"/>
    </row>
    <row r="351" spans="1:13" ht="14.25" customHeight="1" x14ac:dyDescent="0.3">
      <c r="A351" s="48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4"/>
    </row>
    <row r="352" spans="1:13" ht="14.25" customHeight="1" x14ac:dyDescent="0.3">
      <c r="A352" s="48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64"/>
    </row>
    <row r="353" spans="1:13" ht="14.25" customHeight="1" x14ac:dyDescent="0.3">
      <c r="A353" s="48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64"/>
    </row>
    <row r="354" spans="1:13" ht="14.25" customHeight="1" x14ac:dyDescent="0.3">
      <c r="A354" s="48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64"/>
    </row>
    <row r="355" spans="1:13" ht="14.25" customHeight="1" x14ac:dyDescent="0.3">
      <c r="A355" s="48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4"/>
    </row>
    <row r="356" spans="1:13" ht="14.25" customHeight="1" x14ac:dyDescent="0.3">
      <c r="A356" s="48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64"/>
    </row>
    <row r="357" spans="1:13" ht="14.25" customHeight="1" x14ac:dyDescent="0.3">
      <c r="A357" s="48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64"/>
    </row>
    <row r="358" spans="1:13" ht="14.25" customHeight="1" x14ac:dyDescent="0.3">
      <c r="A358" s="48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4"/>
    </row>
    <row r="359" spans="1:13" ht="14.25" customHeight="1" x14ac:dyDescent="0.3">
      <c r="A359" s="48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64"/>
    </row>
    <row r="360" spans="1:13" ht="14.25" customHeight="1" x14ac:dyDescent="0.3">
      <c r="A360" s="48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4"/>
    </row>
    <row r="361" spans="1:13" ht="14.25" customHeight="1" x14ac:dyDescent="0.3">
      <c r="A361" s="48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64"/>
    </row>
    <row r="362" spans="1:13" ht="14.25" customHeight="1" x14ac:dyDescent="0.3">
      <c r="A362" s="48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64"/>
    </row>
    <row r="363" spans="1:13" ht="14.25" customHeight="1" x14ac:dyDescent="0.3">
      <c r="A363" s="48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64"/>
    </row>
    <row r="364" spans="1:13" ht="14.25" customHeight="1" x14ac:dyDescent="0.3">
      <c r="A364" s="48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64"/>
    </row>
    <row r="365" spans="1:13" ht="14.25" customHeight="1" x14ac:dyDescent="0.3">
      <c r="A365" s="48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64"/>
    </row>
    <row r="366" spans="1:13" ht="14.25" customHeight="1" x14ac:dyDescent="0.3">
      <c r="A366" s="48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64"/>
    </row>
    <row r="367" spans="1:13" ht="14.25" customHeight="1" x14ac:dyDescent="0.3">
      <c r="A367" s="48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64"/>
    </row>
    <row r="368" spans="1:13" ht="14.25" customHeight="1" x14ac:dyDescent="0.3">
      <c r="A368" s="48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64"/>
    </row>
    <row r="369" spans="1:13" ht="14.25" customHeight="1" x14ac:dyDescent="0.3">
      <c r="A369" s="48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64"/>
    </row>
    <row r="370" spans="1:13" ht="14.25" customHeight="1" x14ac:dyDescent="0.3">
      <c r="A370" s="48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64"/>
    </row>
    <row r="371" spans="1:13" ht="14.25" customHeight="1" x14ac:dyDescent="0.3">
      <c r="A371" s="48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64"/>
    </row>
    <row r="372" spans="1:13" ht="14.25" customHeight="1" x14ac:dyDescent="0.3">
      <c r="A372" s="48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64"/>
    </row>
    <row r="373" spans="1:13" ht="14.25" customHeight="1" x14ac:dyDescent="0.3">
      <c r="A373" s="48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64"/>
    </row>
    <row r="374" spans="1:13" ht="14.25" customHeight="1" x14ac:dyDescent="0.3">
      <c r="A374" s="48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64"/>
    </row>
    <row r="375" spans="1:13" ht="14.25" customHeight="1" x14ac:dyDescent="0.3">
      <c r="A375" s="48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64"/>
    </row>
    <row r="376" spans="1:13" ht="14.25" customHeight="1" x14ac:dyDescent="0.3">
      <c r="A376" s="48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64"/>
    </row>
    <row r="377" spans="1:13" ht="14.25" customHeight="1" x14ac:dyDescent="0.3">
      <c r="A377" s="48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64"/>
    </row>
    <row r="378" spans="1:13" ht="14.25" customHeight="1" x14ac:dyDescent="0.3">
      <c r="A378" s="48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64"/>
    </row>
    <row r="379" spans="1:13" ht="14.25" customHeight="1" x14ac:dyDescent="0.3">
      <c r="A379" s="48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64"/>
    </row>
    <row r="380" spans="1:13" ht="14.25" customHeight="1" x14ac:dyDescent="0.3">
      <c r="A380" s="48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64"/>
    </row>
    <row r="381" spans="1:13" ht="14.25" customHeight="1" x14ac:dyDescent="0.3">
      <c r="A381" s="48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64"/>
    </row>
    <row r="382" spans="1:13" ht="14.25" customHeight="1" x14ac:dyDescent="0.3">
      <c r="A382" s="48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64"/>
    </row>
    <row r="383" spans="1:13" ht="14.25" customHeight="1" x14ac:dyDescent="0.3">
      <c r="A383" s="48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64"/>
    </row>
    <row r="384" spans="1:13" ht="14.25" customHeight="1" x14ac:dyDescent="0.3">
      <c r="A384" s="48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64"/>
    </row>
    <row r="385" spans="1:13" ht="14.25" customHeight="1" x14ac:dyDescent="0.3">
      <c r="A385" s="48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64"/>
    </row>
    <row r="386" spans="1:13" ht="14.25" customHeight="1" x14ac:dyDescent="0.3">
      <c r="A386" s="48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64"/>
    </row>
    <row r="387" spans="1:13" ht="14.25" customHeight="1" x14ac:dyDescent="0.3">
      <c r="A387" s="48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64"/>
    </row>
    <row r="388" spans="1:13" ht="14.25" customHeight="1" x14ac:dyDescent="0.3">
      <c r="A388" s="48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64"/>
    </row>
    <row r="389" spans="1:13" ht="14.25" customHeight="1" x14ac:dyDescent="0.3">
      <c r="A389" s="48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64"/>
    </row>
    <row r="390" spans="1:13" ht="14.25" customHeight="1" x14ac:dyDescent="0.3">
      <c r="A390" s="48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64"/>
    </row>
    <row r="391" spans="1:13" ht="14.25" customHeight="1" x14ac:dyDescent="0.3">
      <c r="A391" s="48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64"/>
    </row>
    <row r="392" spans="1:13" ht="14.25" customHeight="1" x14ac:dyDescent="0.3">
      <c r="A392" s="48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64"/>
    </row>
    <row r="393" spans="1:13" ht="14.25" customHeight="1" x14ac:dyDescent="0.3">
      <c r="A393" s="48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64"/>
    </row>
    <row r="394" spans="1:13" ht="14.25" customHeight="1" x14ac:dyDescent="0.3">
      <c r="A394" s="48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64"/>
    </row>
    <row r="395" spans="1:13" ht="14.25" customHeight="1" x14ac:dyDescent="0.3">
      <c r="A395" s="48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64"/>
    </row>
    <row r="396" spans="1:13" ht="14.25" customHeight="1" x14ac:dyDescent="0.3">
      <c r="A396" s="48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64"/>
    </row>
    <row r="397" spans="1:13" ht="14.25" customHeight="1" x14ac:dyDescent="0.3">
      <c r="A397" s="48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64"/>
    </row>
    <row r="398" spans="1:13" ht="14.25" customHeight="1" x14ac:dyDescent="0.3">
      <c r="A398" s="48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64"/>
    </row>
    <row r="399" spans="1:13" ht="14.25" customHeight="1" x14ac:dyDescent="0.3">
      <c r="A399" s="48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64"/>
    </row>
    <row r="400" spans="1:13" ht="14.25" customHeight="1" x14ac:dyDescent="0.3">
      <c r="A400" s="48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64"/>
    </row>
    <row r="401" spans="1:13" ht="14.25" customHeight="1" x14ac:dyDescent="0.3">
      <c r="A401" s="48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64"/>
    </row>
    <row r="402" spans="1:13" ht="14.25" customHeight="1" x14ac:dyDescent="0.3">
      <c r="A402" s="48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64"/>
    </row>
    <row r="403" spans="1:13" ht="14.25" customHeight="1" x14ac:dyDescent="0.3">
      <c r="A403" s="48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64"/>
    </row>
    <row r="404" spans="1:13" ht="14.25" customHeight="1" x14ac:dyDescent="0.3">
      <c r="A404" s="48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64"/>
    </row>
    <row r="405" spans="1:13" ht="14.25" customHeight="1" x14ac:dyDescent="0.3">
      <c r="A405" s="48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64"/>
    </row>
    <row r="406" spans="1:13" ht="14.25" customHeight="1" x14ac:dyDescent="0.3">
      <c r="A406" s="48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64"/>
    </row>
    <row r="407" spans="1:13" ht="14.25" customHeight="1" x14ac:dyDescent="0.3">
      <c r="A407" s="48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64"/>
    </row>
    <row r="408" spans="1:13" ht="14.25" customHeight="1" x14ac:dyDescent="0.3">
      <c r="A408" s="48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64"/>
    </row>
    <row r="409" spans="1:13" ht="14.25" customHeight="1" x14ac:dyDescent="0.3">
      <c r="A409" s="48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64"/>
    </row>
    <row r="410" spans="1:13" ht="14.25" customHeight="1" x14ac:dyDescent="0.3">
      <c r="A410" s="48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64"/>
    </row>
    <row r="411" spans="1:13" ht="14.25" customHeight="1" x14ac:dyDescent="0.3">
      <c r="A411" s="48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64"/>
    </row>
    <row r="412" spans="1:13" ht="14.25" customHeight="1" x14ac:dyDescent="0.3">
      <c r="A412" s="48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64"/>
    </row>
    <row r="413" spans="1:13" ht="14.25" customHeight="1" x14ac:dyDescent="0.3">
      <c r="A413" s="48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64"/>
    </row>
    <row r="414" spans="1:13" ht="14.25" customHeight="1" x14ac:dyDescent="0.3">
      <c r="A414" s="48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64"/>
    </row>
    <row r="415" spans="1:13" ht="14.25" customHeight="1" x14ac:dyDescent="0.3">
      <c r="A415" s="48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64"/>
    </row>
    <row r="416" spans="1:13" ht="14.25" customHeight="1" x14ac:dyDescent="0.3">
      <c r="A416" s="48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64"/>
    </row>
    <row r="417" spans="1:13" ht="14.25" customHeight="1" x14ac:dyDescent="0.3">
      <c r="A417" s="48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64"/>
    </row>
    <row r="418" spans="1:13" ht="14.25" customHeight="1" x14ac:dyDescent="0.3">
      <c r="A418" s="48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64"/>
    </row>
    <row r="419" spans="1:13" ht="14.25" customHeight="1" x14ac:dyDescent="0.3">
      <c r="A419" s="48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64"/>
    </row>
    <row r="420" spans="1:13" ht="14.25" customHeight="1" x14ac:dyDescent="0.3">
      <c r="A420" s="48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64"/>
    </row>
    <row r="421" spans="1:13" ht="14.25" customHeight="1" x14ac:dyDescent="0.3">
      <c r="A421" s="48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64"/>
    </row>
    <row r="422" spans="1:13" ht="14.25" customHeight="1" x14ac:dyDescent="0.3">
      <c r="A422" s="48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64"/>
    </row>
    <row r="423" spans="1:13" ht="14.25" customHeight="1" x14ac:dyDescent="0.3">
      <c r="A423" s="48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64"/>
    </row>
    <row r="424" spans="1:13" ht="14.25" customHeight="1" x14ac:dyDescent="0.3">
      <c r="A424" s="48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64"/>
    </row>
    <row r="425" spans="1:13" ht="14.25" customHeight="1" x14ac:dyDescent="0.3">
      <c r="A425" s="48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64"/>
    </row>
    <row r="426" spans="1:13" ht="14.25" customHeight="1" x14ac:dyDescent="0.3">
      <c r="A426" s="48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64"/>
    </row>
    <row r="427" spans="1:13" ht="14.25" customHeight="1" x14ac:dyDescent="0.3">
      <c r="A427" s="48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64"/>
    </row>
    <row r="428" spans="1:13" ht="14.25" customHeight="1" x14ac:dyDescent="0.3">
      <c r="A428" s="48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64"/>
    </row>
    <row r="429" spans="1:13" ht="14.25" customHeight="1" x14ac:dyDescent="0.3">
      <c r="A429" s="48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64"/>
    </row>
    <row r="430" spans="1:13" ht="14.25" customHeight="1" x14ac:dyDescent="0.3">
      <c r="A430" s="48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64"/>
    </row>
    <row r="431" spans="1:13" ht="14.25" customHeight="1" x14ac:dyDescent="0.3">
      <c r="A431" s="48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64"/>
    </row>
    <row r="432" spans="1:13" ht="14.25" customHeight="1" x14ac:dyDescent="0.3">
      <c r="A432" s="48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64"/>
    </row>
    <row r="433" spans="1:13" ht="14.25" customHeight="1" x14ac:dyDescent="0.3">
      <c r="A433" s="48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64"/>
    </row>
    <row r="434" spans="1:13" ht="14.25" customHeight="1" x14ac:dyDescent="0.3">
      <c r="A434" s="48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64"/>
    </row>
    <row r="435" spans="1:13" ht="14.25" customHeight="1" x14ac:dyDescent="0.3">
      <c r="A435" s="48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64"/>
    </row>
    <row r="436" spans="1:13" ht="14.25" customHeight="1" x14ac:dyDescent="0.3">
      <c r="A436" s="48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64"/>
    </row>
    <row r="437" spans="1:13" ht="14.25" customHeight="1" x14ac:dyDescent="0.3">
      <c r="A437" s="48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64"/>
    </row>
    <row r="438" spans="1:13" ht="14.25" customHeight="1" x14ac:dyDescent="0.3">
      <c r="A438" s="48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64"/>
    </row>
    <row r="439" spans="1:13" ht="14.25" customHeight="1" x14ac:dyDescent="0.3">
      <c r="A439" s="48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64"/>
    </row>
    <row r="440" spans="1:13" ht="14.25" customHeight="1" x14ac:dyDescent="0.3">
      <c r="A440" s="48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64"/>
    </row>
    <row r="441" spans="1:13" ht="14.25" customHeight="1" x14ac:dyDescent="0.3">
      <c r="A441" s="48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64"/>
    </row>
    <row r="442" spans="1:13" ht="14.25" customHeight="1" x14ac:dyDescent="0.3">
      <c r="A442" s="48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64"/>
    </row>
    <row r="443" spans="1:13" ht="14.25" customHeight="1" x14ac:dyDescent="0.3">
      <c r="A443" s="48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64"/>
    </row>
    <row r="444" spans="1:13" ht="14.25" customHeight="1" x14ac:dyDescent="0.3">
      <c r="A444" s="48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64"/>
    </row>
    <row r="445" spans="1:13" ht="14.25" customHeight="1" x14ac:dyDescent="0.3">
      <c r="A445" s="48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64"/>
    </row>
    <row r="446" spans="1:13" ht="14.25" customHeight="1" x14ac:dyDescent="0.3">
      <c r="A446" s="48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64"/>
    </row>
    <row r="447" spans="1:13" ht="14.25" customHeight="1" x14ac:dyDescent="0.3">
      <c r="A447" s="48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64"/>
    </row>
    <row r="448" spans="1:13" ht="14.25" customHeight="1" x14ac:dyDescent="0.3">
      <c r="A448" s="48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64"/>
    </row>
    <row r="449" spans="1:13" ht="14.25" customHeight="1" x14ac:dyDescent="0.3">
      <c r="A449" s="48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64"/>
    </row>
    <row r="450" spans="1:13" ht="14.25" customHeight="1" x14ac:dyDescent="0.3">
      <c r="A450" s="48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64"/>
    </row>
    <row r="451" spans="1:13" ht="14.25" customHeight="1" x14ac:dyDescent="0.3">
      <c r="A451" s="48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64"/>
    </row>
    <row r="452" spans="1:13" ht="14.25" customHeight="1" x14ac:dyDescent="0.3">
      <c r="A452" s="48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64"/>
    </row>
    <row r="453" spans="1:13" ht="14.25" customHeight="1" x14ac:dyDescent="0.3">
      <c r="A453" s="48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64"/>
    </row>
    <row r="454" spans="1:13" ht="14.25" customHeight="1" x14ac:dyDescent="0.3">
      <c r="A454" s="48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64"/>
    </row>
    <row r="455" spans="1:13" ht="14.25" customHeight="1" x14ac:dyDescent="0.3">
      <c r="A455" s="48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64"/>
    </row>
    <row r="456" spans="1:13" ht="14.25" customHeight="1" x14ac:dyDescent="0.3">
      <c r="A456" s="48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64"/>
    </row>
    <row r="457" spans="1:13" ht="14.25" customHeight="1" x14ac:dyDescent="0.3">
      <c r="A457" s="48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64"/>
    </row>
    <row r="458" spans="1:13" ht="14.25" customHeight="1" x14ac:dyDescent="0.3">
      <c r="A458" s="48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64"/>
    </row>
    <row r="459" spans="1:13" ht="14.25" customHeight="1" x14ac:dyDescent="0.3">
      <c r="A459" s="48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64"/>
    </row>
    <row r="460" spans="1:13" ht="14.25" customHeight="1" x14ac:dyDescent="0.3">
      <c r="A460" s="48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64"/>
    </row>
    <row r="461" spans="1:13" ht="14.25" customHeight="1" x14ac:dyDescent="0.3">
      <c r="A461" s="48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64"/>
    </row>
    <row r="462" spans="1:13" ht="14.25" customHeight="1" x14ac:dyDescent="0.3">
      <c r="A462" s="48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64"/>
    </row>
    <row r="463" spans="1:13" ht="14.25" customHeight="1" x14ac:dyDescent="0.3">
      <c r="A463" s="48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64"/>
    </row>
    <row r="464" spans="1:13" ht="14.25" customHeight="1" x14ac:dyDescent="0.3">
      <c r="A464" s="48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64"/>
    </row>
    <row r="465" spans="1:13" ht="14.25" customHeight="1" x14ac:dyDescent="0.3">
      <c r="A465" s="48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64"/>
    </row>
    <row r="466" spans="1:13" ht="14.25" customHeight="1" x14ac:dyDescent="0.3">
      <c r="A466" s="48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64"/>
    </row>
    <row r="467" spans="1:13" ht="14.25" customHeight="1" x14ac:dyDescent="0.3">
      <c r="A467" s="48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64"/>
    </row>
    <row r="468" spans="1:13" ht="14.25" customHeight="1" x14ac:dyDescent="0.3">
      <c r="A468" s="48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64"/>
    </row>
    <row r="469" spans="1:13" ht="14.25" customHeight="1" x14ac:dyDescent="0.3">
      <c r="A469" s="48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64"/>
    </row>
    <row r="470" spans="1:13" ht="14.25" customHeight="1" x14ac:dyDescent="0.3">
      <c r="A470" s="48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64"/>
    </row>
    <row r="471" spans="1:13" ht="14.25" customHeight="1" x14ac:dyDescent="0.3">
      <c r="A471" s="48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64"/>
    </row>
    <row r="472" spans="1:13" ht="14.25" customHeight="1" x14ac:dyDescent="0.3">
      <c r="A472" s="48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64"/>
    </row>
    <row r="473" spans="1:13" ht="14.25" customHeight="1" x14ac:dyDescent="0.3">
      <c r="A473" s="48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64"/>
    </row>
    <row r="474" spans="1:13" ht="14.25" customHeight="1" x14ac:dyDescent="0.3">
      <c r="A474" s="48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64"/>
    </row>
    <row r="475" spans="1:13" ht="14.25" customHeight="1" x14ac:dyDescent="0.3">
      <c r="A475" s="48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64"/>
    </row>
    <row r="476" spans="1:13" ht="14.25" customHeight="1" x14ac:dyDescent="0.3">
      <c r="A476" s="48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64"/>
    </row>
    <row r="477" spans="1:13" ht="14.25" customHeight="1" x14ac:dyDescent="0.3">
      <c r="A477" s="48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64"/>
    </row>
    <row r="478" spans="1:13" ht="14.25" customHeight="1" x14ac:dyDescent="0.3">
      <c r="A478" s="48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64"/>
    </row>
    <row r="479" spans="1:13" ht="14.25" customHeight="1" x14ac:dyDescent="0.3">
      <c r="A479" s="48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64"/>
    </row>
    <row r="480" spans="1:13" ht="14.25" customHeight="1" x14ac:dyDescent="0.3">
      <c r="A480" s="48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64"/>
    </row>
    <row r="481" spans="1:13" ht="14.25" customHeight="1" x14ac:dyDescent="0.3">
      <c r="A481" s="48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64"/>
    </row>
    <row r="482" spans="1:13" ht="14.25" customHeight="1" x14ac:dyDescent="0.3">
      <c r="A482" s="48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64"/>
    </row>
    <row r="483" spans="1:13" ht="14.25" customHeight="1" x14ac:dyDescent="0.3">
      <c r="A483" s="48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64"/>
    </row>
    <row r="484" spans="1:13" ht="14.25" customHeight="1" x14ac:dyDescent="0.3">
      <c r="A484" s="48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64"/>
    </row>
    <row r="485" spans="1:13" ht="14.25" customHeight="1" x14ac:dyDescent="0.3">
      <c r="A485" s="48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64"/>
    </row>
    <row r="486" spans="1:13" ht="14.25" customHeight="1" x14ac:dyDescent="0.3">
      <c r="A486" s="48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64"/>
    </row>
    <row r="487" spans="1:13" ht="14.25" customHeight="1" x14ac:dyDescent="0.3">
      <c r="A487" s="48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64"/>
    </row>
    <row r="488" spans="1:13" ht="14.25" customHeight="1" x14ac:dyDescent="0.3">
      <c r="A488" s="48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64"/>
    </row>
    <row r="489" spans="1:13" ht="14.25" customHeight="1" x14ac:dyDescent="0.3">
      <c r="A489" s="48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64"/>
    </row>
    <row r="490" spans="1:13" ht="14.25" customHeight="1" x14ac:dyDescent="0.3">
      <c r="A490" s="48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64"/>
    </row>
    <row r="491" spans="1:13" ht="14.25" customHeight="1" x14ac:dyDescent="0.3">
      <c r="A491" s="48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64"/>
    </row>
    <row r="492" spans="1:13" ht="14.25" customHeight="1" x14ac:dyDescent="0.3">
      <c r="A492" s="48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64"/>
    </row>
    <row r="493" spans="1:13" ht="14.25" customHeight="1" x14ac:dyDescent="0.3">
      <c r="A493" s="48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64"/>
    </row>
    <row r="494" spans="1:13" ht="14.25" customHeight="1" x14ac:dyDescent="0.3">
      <c r="A494" s="48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64"/>
    </row>
    <row r="495" spans="1:13" ht="14.25" customHeight="1" x14ac:dyDescent="0.3">
      <c r="A495" s="48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64"/>
    </row>
    <row r="496" spans="1:13" ht="14.25" customHeight="1" x14ac:dyDescent="0.3">
      <c r="A496" s="48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64"/>
    </row>
    <row r="497" spans="1:13" ht="14.25" customHeight="1" x14ac:dyDescent="0.3">
      <c r="A497" s="48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64"/>
    </row>
    <row r="498" spans="1:13" ht="14.25" customHeight="1" x14ac:dyDescent="0.3">
      <c r="A498" s="48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64"/>
    </row>
    <row r="499" spans="1:13" ht="14.25" customHeight="1" x14ac:dyDescent="0.3">
      <c r="A499" s="48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64"/>
    </row>
    <row r="500" spans="1:13" ht="14.25" customHeight="1" x14ac:dyDescent="0.3">
      <c r="A500" s="48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64"/>
    </row>
    <row r="501" spans="1:13" ht="14.25" customHeight="1" x14ac:dyDescent="0.3">
      <c r="A501" s="48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64"/>
    </row>
    <row r="502" spans="1:13" ht="14.25" customHeight="1" x14ac:dyDescent="0.3">
      <c r="A502" s="48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64"/>
    </row>
    <row r="503" spans="1:13" ht="14.25" customHeight="1" x14ac:dyDescent="0.3">
      <c r="A503" s="48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64"/>
    </row>
    <row r="504" spans="1:13" ht="14.25" customHeight="1" x14ac:dyDescent="0.3">
      <c r="A504" s="48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64"/>
    </row>
    <row r="505" spans="1:13" ht="14.25" customHeight="1" x14ac:dyDescent="0.3">
      <c r="A505" s="48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64"/>
    </row>
    <row r="506" spans="1:13" ht="14.25" customHeight="1" x14ac:dyDescent="0.3">
      <c r="A506" s="48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64"/>
    </row>
    <row r="507" spans="1:13" ht="14.25" customHeight="1" x14ac:dyDescent="0.3">
      <c r="A507" s="48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64"/>
    </row>
    <row r="508" spans="1:13" ht="14.25" customHeight="1" x14ac:dyDescent="0.3">
      <c r="A508" s="48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64"/>
    </row>
    <row r="509" spans="1:13" ht="14.25" customHeight="1" x14ac:dyDescent="0.3">
      <c r="A509" s="48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64"/>
    </row>
    <row r="510" spans="1:13" ht="14.25" customHeight="1" x14ac:dyDescent="0.3">
      <c r="A510" s="48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64"/>
    </row>
    <row r="511" spans="1:13" ht="14.25" customHeight="1" x14ac:dyDescent="0.3">
      <c r="A511" s="48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64"/>
    </row>
    <row r="512" spans="1:13" ht="14.25" customHeight="1" x14ac:dyDescent="0.3">
      <c r="A512" s="48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64"/>
    </row>
    <row r="513" spans="1:13" ht="14.25" customHeight="1" x14ac:dyDescent="0.3">
      <c r="A513" s="48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64"/>
    </row>
    <row r="514" spans="1:13" ht="14.25" customHeight="1" x14ac:dyDescent="0.3">
      <c r="A514" s="48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64"/>
    </row>
    <row r="515" spans="1:13" ht="14.25" customHeight="1" x14ac:dyDescent="0.3">
      <c r="A515" s="48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64"/>
    </row>
    <row r="516" spans="1:13" ht="14.25" customHeight="1" x14ac:dyDescent="0.3">
      <c r="A516" s="48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64"/>
    </row>
    <row r="517" spans="1:13" ht="14.25" customHeight="1" x14ac:dyDescent="0.3">
      <c r="A517" s="48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64"/>
    </row>
    <row r="518" spans="1:13" ht="14.25" customHeight="1" x14ac:dyDescent="0.3">
      <c r="A518" s="48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64"/>
    </row>
    <row r="519" spans="1:13" ht="14.25" customHeight="1" x14ac:dyDescent="0.3">
      <c r="A519" s="48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64"/>
    </row>
    <row r="520" spans="1:13" ht="14.25" customHeight="1" x14ac:dyDescent="0.3">
      <c r="A520" s="48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64"/>
    </row>
    <row r="521" spans="1:13" ht="14.25" customHeight="1" x14ac:dyDescent="0.3">
      <c r="A521" s="48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64"/>
    </row>
    <row r="522" spans="1:13" ht="14.25" customHeight="1" x14ac:dyDescent="0.3">
      <c r="A522" s="48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64"/>
    </row>
    <row r="523" spans="1:13" ht="14.25" customHeight="1" x14ac:dyDescent="0.3">
      <c r="A523" s="48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64"/>
    </row>
    <row r="524" spans="1:13" ht="14.25" customHeight="1" x14ac:dyDescent="0.3">
      <c r="A524" s="48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64"/>
    </row>
    <row r="525" spans="1:13" ht="14.25" customHeight="1" x14ac:dyDescent="0.3">
      <c r="A525" s="48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64"/>
    </row>
    <row r="526" spans="1:13" ht="14.25" customHeight="1" x14ac:dyDescent="0.3">
      <c r="A526" s="48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64"/>
    </row>
    <row r="527" spans="1:13" ht="14.25" customHeight="1" x14ac:dyDescent="0.3">
      <c r="A527" s="48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64"/>
    </row>
    <row r="528" spans="1:13" ht="14.25" customHeight="1" x14ac:dyDescent="0.3">
      <c r="A528" s="48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64"/>
    </row>
    <row r="529" spans="1:13" ht="14.25" customHeight="1" x14ac:dyDescent="0.3">
      <c r="A529" s="48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64"/>
    </row>
    <row r="530" spans="1:13" ht="14.25" customHeight="1" x14ac:dyDescent="0.3">
      <c r="A530" s="48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64"/>
    </row>
    <row r="531" spans="1:13" ht="14.25" customHeight="1" x14ac:dyDescent="0.3">
      <c r="A531" s="48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64"/>
    </row>
    <row r="532" spans="1:13" ht="14.25" customHeight="1" x14ac:dyDescent="0.3">
      <c r="A532" s="48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64"/>
    </row>
    <row r="533" spans="1:13" ht="14.25" customHeight="1" x14ac:dyDescent="0.3">
      <c r="A533" s="48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64"/>
    </row>
    <row r="534" spans="1:13" ht="14.25" customHeight="1" x14ac:dyDescent="0.3">
      <c r="A534" s="48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64"/>
    </row>
    <row r="535" spans="1:13" ht="14.25" customHeight="1" x14ac:dyDescent="0.3">
      <c r="A535" s="48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64"/>
    </row>
    <row r="536" spans="1:13" ht="14.25" customHeight="1" x14ac:dyDescent="0.3">
      <c r="A536" s="48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64"/>
    </row>
    <row r="537" spans="1:13" ht="14.25" customHeight="1" x14ac:dyDescent="0.3">
      <c r="A537" s="48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64"/>
    </row>
    <row r="538" spans="1:13" ht="14.25" customHeight="1" x14ac:dyDescent="0.3">
      <c r="A538" s="48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64"/>
    </row>
    <row r="539" spans="1:13" ht="14.25" customHeight="1" x14ac:dyDescent="0.3">
      <c r="A539" s="48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64"/>
    </row>
    <row r="540" spans="1:13" ht="14.25" customHeight="1" x14ac:dyDescent="0.3">
      <c r="A540" s="48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64"/>
    </row>
    <row r="541" spans="1:13" ht="14.25" customHeight="1" x14ac:dyDescent="0.3">
      <c r="A541" s="48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64"/>
    </row>
    <row r="542" spans="1:13" ht="14.25" customHeight="1" x14ac:dyDescent="0.3">
      <c r="A542" s="48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64"/>
    </row>
    <row r="543" spans="1:13" ht="14.25" customHeight="1" x14ac:dyDescent="0.3">
      <c r="A543" s="48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64"/>
    </row>
    <row r="544" spans="1:13" ht="14.25" customHeight="1" x14ac:dyDescent="0.3">
      <c r="A544" s="48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64"/>
    </row>
    <row r="545" spans="1:13" ht="14.25" customHeight="1" x14ac:dyDescent="0.3">
      <c r="A545" s="48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64"/>
    </row>
    <row r="546" spans="1:13" ht="14.25" customHeight="1" x14ac:dyDescent="0.3">
      <c r="A546" s="48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64"/>
    </row>
    <row r="547" spans="1:13" ht="14.25" customHeight="1" x14ac:dyDescent="0.3">
      <c r="A547" s="48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64"/>
    </row>
    <row r="548" spans="1:13" ht="14.25" customHeight="1" x14ac:dyDescent="0.3">
      <c r="A548" s="48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64"/>
    </row>
    <row r="549" spans="1:13" ht="14.25" customHeight="1" x14ac:dyDescent="0.3">
      <c r="A549" s="48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64"/>
    </row>
    <row r="550" spans="1:13" ht="14.25" customHeight="1" x14ac:dyDescent="0.3">
      <c r="A550" s="48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64"/>
    </row>
    <row r="551" spans="1:13" ht="14.25" customHeight="1" x14ac:dyDescent="0.3">
      <c r="A551" s="48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64"/>
    </row>
    <row r="552" spans="1:13" ht="14.25" customHeight="1" x14ac:dyDescent="0.3">
      <c r="A552" s="48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64"/>
    </row>
    <row r="553" spans="1:13" ht="14.25" customHeight="1" x14ac:dyDescent="0.3">
      <c r="A553" s="48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64"/>
    </row>
    <row r="554" spans="1:13" ht="14.25" customHeight="1" x14ac:dyDescent="0.3">
      <c r="A554" s="48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64"/>
    </row>
    <row r="555" spans="1:13" ht="14.25" customHeight="1" x14ac:dyDescent="0.3">
      <c r="A555" s="48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64"/>
    </row>
    <row r="556" spans="1:13" ht="14.25" customHeight="1" x14ac:dyDescent="0.3">
      <c r="A556" s="48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64"/>
    </row>
    <row r="557" spans="1:13" ht="14.25" customHeight="1" x14ac:dyDescent="0.3">
      <c r="A557" s="48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64"/>
    </row>
    <row r="558" spans="1:13" ht="14.25" customHeight="1" x14ac:dyDescent="0.3">
      <c r="A558" s="48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64"/>
    </row>
    <row r="559" spans="1:13" ht="14.25" customHeight="1" x14ac:dyDescent="0.3">
      <c r="A559" s="48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64"/>
    </row>
    <row r="560" spans="1:13" ht="14.25" customHeight="1" x14ac:dyDescent="0.3">
      <c r="A560" s="48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64"/>
    </row>
    <row r="561" spans="1:13" ht="14.25" customHeight="1" x14ac:dyDescent="0.3">
      <c r="A561" s="48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64"/>
    </row>
    <row r="562" spans="1:13" ht="14.25" customHeight="1" x14ac:dyDescent="0.3">
      <c r="A562" s="48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64"/>
    </row>
    <row r="563" spans="1:13" ht="14.25" customHeight="1" x14ac:dyDescent="0.3">
      <c r="A563" s="48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64"/>
    </row>
    <row r="564" spans="1:13" ht="14.25" customHeight="1" x14ac:dyDescent="0.3">
      <c r="A564" s="48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64"/>
    </row>
    <row r="565" spans="1:13" ht="14.25" customHeight="1" x14ac:dyDescent="0.3">
      <c r="A565" s="48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64"/>
    </row>
    <row r="566" spans="1:13" ht="14.25" customHeight="1" x14ac:dyDescent="0.3">
      <c r="A566" s="48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64"/>
    </row>
    <row r="567" spans="1:13" ht="14.25" customHeight="1" x14ac:dyDescent="0.3">
      <c r="A567" s="48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64"/>
    </row>
    <row r="568" spans="1:13" ht="14.25" customHeight="1" x14ac:dyDescent="0.3">
      <c r="A568" s="48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64"/>
    </row>
    <row r="569" spans="1:13" ht="14.25" customHeight="1" x14ac:dyDescent="0.3">
      <c r="A569" s="48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64"/>
    </row>
    <row r="570" spans="1:13" ht="14.25" customHeight="1" x14ac:dyDescent="0.3">
      <c r="A570" s="48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64"/>
    </row>
    <row r="571" spans="1:13" ht="14.25" customHeight="1" x14ac:dyDescent="0.3">
      <c r="A571" s="48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64"/>
    </row>
    <row r="572" spans="1:13" ht="14.25" customHeight="1" x14ac:dyDescent="0.3">
      <c r="A572" s="48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64"/>
    </row>
    <row r="573" spans="1:13" ht="14.25" customHeight="1" x14ac:dyDescent="0.3">
      <c r="A573" s="48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64"/>
    </row>
    <row r="574" spans="1:13" ht="14.25" customHeight="1" x14ac:dyDescent="0.3">
      <c r="A574" s="48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64"/>
    </row>
    <row r="575" spans="1:13" ht="14.25" customHeight="1" x14ac:dyDescent="0.3">
      <c r="A575" s="48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64"/>
    </row>
    <row r="576" spans="1:13" ht="14.25" customHeight="1" x14ac:dyDescent="0.3">
      <c r="A576" s="48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64"/>
    </row>
    <row r="577" spans="1:13" ht="14.25" customHeight="1" x14ac:dyDescent="0.3">
      <c r="A577" s="48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64"/>
    </row>
    <row r="578" spans="1:13" ht="14.25" customHeight="1" x14ac:dyDescent="0.3">
      <c r="A578" s="48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64"/>
    </row>
    <row r="579" spans="1:13" ht="14.25" customHeight="1" x14ac:dyDescent="0.3">
      <c r="A579" s="48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64"/>
    </row>
    <row r="580" spans="1:13" ht="14.25" customHeight="1" x14ac:dyDescent="0.3">
      <c r="A580" s="48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64"/>
    </row>
    <row r="581" spans="1:13" ht="14.25" customHeight="1" x14ac:dyDescent="0.3">
      <c r="A581" s="48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64"/>
    </row>
    <row r="582" spans="1:13" ht="14.25" customHeight="1" x14ac:dyDescent="0.3">
      <c r="A582" s="48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64"/>
    </row>
    <row r="583" spans="1:13" ht="14.25" customHeight="1" x14ac:dyDescent="0.3">
      <c r="A583" s="48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64"/>
    </row>
    <row r="584" spans="1:13" ht="14.25" customHeight="1" x14ac:dyDescent="0.3">
      <c r="A584" s="48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64"/>
    </row>
    <row r="585" spans="1:13" ht="14.25" customHeight="1" x14ac:dyDescent="0.3">
      <c r="A585" s="48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64"/>
    </row>
    <row r="586" spans="1:13" ht="14.25" customHeight="1" x14ac:dyDescent="0.3">
      <c r="A586" s="48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64"/>
    </row>
    <row r="587" spans="1:13" ht="14.25" customHeight="1" x14ac:dyDescent="0.3">
      <c r="A587" s="48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64"/>
    </row>
    <row r="588" spans="1:13" ht="14.25" customHeight="1" x14ac:dyDescent="0.3">
      <c r="A588" s="48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64"/>
    </row>
    <row r="589" spans="1:13" ht="14.25" customHeight="1" x14ac:dyDescent="0.3">
      <c r="A589" s="48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64"/>
    </row>
    <row r="590" spans="1:13" ht="14.25" customHeight="1" x14ac:dyDescent="0.3">
      <c r="A590" s="48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64"/>
    </row>
    <row r="591" spans="1:13" ht="14.25" customHeight="1" x14ac:dyDescent="0.3">
      <c r="A591" s="48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64"/>
    </row>
    <row r="592" spans="1:13" ht="14.25" customHeight="1" x14ac:dyDescent="0.3">
      <c r="A592" s="48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64"/>
    </row>
    <row r="593" spans="1:13" ht="14.25" customHeight="1" x14ac:dyDescent="0.3">
      <c r="A593" s="48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64"/>
    </row>
    <row r="594" spans="1:13" ht="14.25" customHeight="1" x14ac:dyDescent="0.3">
      <c r="A594" s="48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64"/>
    </row>
    <row r="595" spans="1:13" ht="14.25" customHeight="1" x14ac:dyDescent="0.3">
      <c r="A595" s="48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64"/>
    </row>
    <row r="596" spans="1:13" ht="14.25" customHeight="1" x14ac:dyDescent="0.3">
      <c r="A596" s="48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64"/>
    </row>
    <row r="597" spans="1:13" ht="14.25" customHeight="1" x14ac:dyDescent="0.3">
      <c r="A597" s="48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64"/>
    </row>
    <row r="598" spans="1:13" ht="14.25" customHeight="1" x14ac:dyDescent="0.3">
      <c r="A598" s="48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64"/>
    </row>
    <row r="599" spans="1:13" ht="14.25" customHeight="1" x14ac:dyDescent="0.3">
      <c r="A599" s="48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64"/>
    </row>
    <row r="600" spans="1:13" ht="14.25" customHeight="1" x14ac:dyDescent="0.3">
      <c r="A600" s="48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64"/>
    </row>
    <row r="601" spans="1:13" ht="14.25" customHeight="1" x14ac:dyDescent="0.3">
      <c r="A601" s="48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64"/>
    </row>
    <row r="602" spans="1:13" ht="14.25" customHeight="1" x14ac:dyDescent="0.3">
      <c r="A602" s="48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64"/>
    </row>
    <row r="603" spans="1:13" ht="14.25" customHeight="1" x14ac:dyDescent="0.3">
      <c r="A603" s="48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64"/>
    </row>
    <row r="604" spans="1:13" ht="14.25" customHeight="1" x14ac:dyDescent="0.3">
      <c r="A604" s="48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64"/>
    </row>
    <row r="605" spans="1:13" ht="14.25" customHeight="1" x14ac:dyDescent="0.3">
      <c r="A605" s="48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64"/>
    </row>
    <row r="606" spans="1:13" ht="14.25" customHeight="1" x14ac:dyDescent="0.3">
      <c r="A606" s="48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64"/>
    </row>
    <row r="607" spans="1:13" ht="14.25" customHeight="1" x14ac:dyDescent="0.3">
      <c r="A607" s="48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64"/>
    </row>
    <row r="608" spans="1:13" ht="14.25" customHeight="1" x14ac:dyDescent="0.3">
      <c r="A608" s="48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64"/>
    </row>
    <row r="609" spans="1:13" ht="14.25" customHeight="1" x14ac:dyDescent="0.3">
      <c r="A609" s="48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64"/>
    </row>
    <row r="610" spans="1:13" ht="14.25" customHeight="1" x14ac:dyDescent="0.3">
      <c r="A610" s="48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64"/>
    </row>
    <row r="611" spans="1:13" ht="14.25" customHeight="1" x14ac:dyDescent="0.3">
      <c r="A611" s="48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64"/>
    </row>
    <row r="612" spans="1:13" ht="14.25" customHeight="1" x14ac:dyDescent="0.3">
      <c r="A612" s="48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64"/>
    </row>
    <row r="613" spans="1:13" ht="14.25" customHeight="1" x14ac:dyDescent="0.3">
      <c r="A613" s="48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64"/>
    </row>
    <row r="614" spans="1:13" ht="14.25" customHeight="1" x14ac:dyDescent="0.3">
      <c r="A614" s="48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64"/>
    </row>
    <row r="615" spans="1:13" ht="14.25" customHeight="1" x14ac:dyDescent="0.3">
      <c r="A615" s="48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64"/>
    </row>
    <row r="616" spans="1:13" ht="14.25" customHeight="1" x14ac:dyDescent="0.3">
      <c r="A616" s="48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64"/>
    </row>
    <row r="617" spans="1:13" ht="14.25" customHeight="1" x14ac:dyDescent="0.3">
      <c r="A617" s="48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64"/>
    </row>
    <row r="618" spans="1:13" ht="14.25" customHeight="1" x14ac:dyDescent="0.3">
      <c r="A618" s="48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64"/>
    </row>
    <row r="619" spans="1:13" ht="14.25" customHeight="1" x14ac:dyDescent="0.3">
      <c r="A619" s="48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64"/>
    </row>
    <row r="620" spans="1:13" ht="14.25" customHeight="1" x14ac:dyDescent="0.3">
      <c r="A620" s="48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64"/>
    </row>
    <row r="621" spans="1:13" ht="14.25" customHeight="1" x14ac:dyDescent="0.3">
      <c r="A621" s="48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64"/>
    </row>
    <row r="622" spans="1:13" ht="14.25" customHeight="1" x14ac:dyDescent="0.3">
      <c r="A622" s="48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64"/>
    </row>
    <row r="623" spans="1:13" ht="14.25" customHeight="1" x14ac:dyDescent="0.3">
      <c r="A623" s="48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64"/>
    </row>
    <row r="624" spans="1:13" ht="14.25" customHeight="1" x14ac:dyDescent="0.3">
      <c r="A624" s="48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64"/>
    </row>
    <row r="625" spans="1:13" ht="14.25" customHeight="1" x14ac:dyDescent="0.3">
      <c r="A625" s="48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64"/>
    </row>
    <row r="626" spans="1:13" ht="14.25" customHeight="1" x14ac:dyDescent="0.3">
      <c r="A626" s="48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64"/>
    </row>
    <row r="627" spans="1:13" ht="14.25" customHeight="1" x14ac:dyDescent="0.3">
      <c r="A627" s="48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64"/>
    </row>
    <row r="628" spans="1:13" ht="14.25" customHeight="1" x14ac:dyDescent="0.3">
      <c r="A628" s="48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64"/>
    </row>
    <row r="629" spans="1:13" ht="14.25" customHeight="1" x14ac:dyDescent="0.3">
      <c r="A629" s="48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64"/>
    </row>
    <row r="630" spans="1:13" ht="14.25" customHeight="1" x14ac:dyDescent="0.3">
      <c r="A630" s="48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64"/>
    </row>
    <row r="631" spans="1:13" ht="14.25" customHeight="1" x14ac:dyDescent="0.3">
      <c r="A631" s="48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64"/>
    </row>
    <row r="632" spans="1:13" ht="14.25" customHeight="1" x14ac:dyDescent="0.3">
      <c r="A632" s="48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64"/>
    </row>
    <row r="633" spans="1:13" ht="14.25" customHeight="1" x14ac:dyDescent="0.3">
      <c r="A633" s="48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64"/>
    </row>
    <row r="634" spans="1:13" ht="14.25" customHeight="1" x14ac:dyDescent="0.3">
      <c r="A634" s="48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64"/>
    </row>
    <row r="635" spans="1:13" ht="14.25" customHeight="1" x14ac:dyDescent="0.3">
      <c r="A635" s="48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64"/>
    </row>
    <row r="636" spans="1:13" ht="14.25" customHeight="1" x14ac:dyDescent="0.3">
      <c r="A636" s="48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64"/>
    </row>
    <row r="637" spans="1:13" ht="14.25" customHeight="1" x14ac:dyDescent="0.3">
      <c r="A637" s="48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64"/>
    </row>
    <row r="638" spans="1:13" ht="14.25" customHeight="1" x14ac:dyDescent="0.3">
      <c r="A638" s="48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64"/>
    </row>
    <row r="639" spans="1:13" ht="14.25" customHeight="1" x14ac:dyDescent="0.3">
      <c r="A639" s="48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64"/>
    </row>
    <row r="640" spans="1:13" ht="14.25" customHeight="1" x14ac:dyDescent="0.3">
      <c r="A640" s="48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64"/>
    </row>
    <row r="641" spans="1:13" ht="14.25" customHeight="1" x14ac:dyDescent="0.3">
      <c r="A641" s="48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64"/>
    </row>
    <row r="642" spans="1:13" ht="14.25" customHeight="1" x14ac:dyDescent="0.3">
      <c r="A642" s="48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64"/>
    </row>
    <row r="643" spans="1:13" ht="14.25" customHeight="1" x14ac:dyDescent="0.3">
      <c r="A643" s="48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64"/>
    </row>
    <row r="644" spans="1:13" ht="14.25" customHeight="1" x14ac:dyDescent="0.3">
      <c r="A644" s="48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64"/>
    </row>
    <row r="645" spans="1:13" ht="14.25" customHeight="1" x14ac:dyDescent="0.3">
      <c r="A645" s="48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64"/>
    </row>
    <row r="646" spans="1:13" ht="14.25" customHeight="1" x14ac:dyDescent="0.3">
      <c r="A646" s="48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64"/>
    </row>
    <row r="647" spans="1:13" ht="14.25" customHeight="1" x14ac:dyDescent="0.3">
      <c r="A647" s="48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64"/>
    </row>
    <row r="648" spans="1:13" ht="14.25" customHeight="1" x14ac:dyDescent="0.3">
      <c r="A648" s="48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64"/>
    </row>
    <row r="649" spans="1:13" ht="14.25" customHeight="1" x14ac:dyDescent="0.3">
      <c r="A649" s="48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64"/>
    </row>
    <row r="650" spans="1:13" ht="14.25" customHeight="1" x14ac:dyDescent="0.3">
      <c r="A650" s="48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64"/>
    </row>
    <row r="651" spans="1:13" ht="14.25" customHeight="1" x14ac:dyDescent="0.3">
      <c r="A651" s="48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64"/>
    </row>
    <row r="652" spans="1:13" ht="14.25" customHeight="1" x14ac:dyDescent="0.3">
      <c r="A652" s="48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64"/>
    </row>
    <row r="653" spans="1:13" ht="14.25" customHeight="1" x14ac:dyDescent="0.3">
      <c r="A653" s="48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64"/>
    </row>
    <row r="654" spans="1:13" ht="14.25" customHeight="1" x14ac:dyDescent="0.3">
      <c r="A654" s="48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64"/>
    </row>
    <row r="655" spans="1:13" ht="14.25" customHeight="1" x14ac:dyDescent="0.3">
      <c r="A655" s="48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64"/>
    </row>
    <row r="656" spans="1:13" ht="14.25" customHeight="1" x14ac:dyDescent="0.3">
      <c r="A656" s="48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64"/>
    </row>
    <row r="657" spans="1:13" ht="14.25" customHeight="1" x14ac:dyDescent="0.3">
      <c r="A657" s="48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64"/>
    </row>
    <row r="658" spans="1:13" ht="14.25" customHeight="1" x14ac:dyDescent="0.3">
      <c r="A658" s="48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64"/>
    </row>
    <row r="659" spans="1:13" ht="14.25" customHeight="1" x14ac:dyDescent="0.3">
      <c r="A659" s="48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64"/>
    </row>
    <row r="660" spans="1:13" ht="14.25" customHeight="1" x14ac:dyDescent="0.3">
      <c r="A660" s="48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64"/>
    </row>
    <row r="661" spans="1:13" ht="14.25" customHeight="1" x14ac:dyDescent="0.3">
      <c r="A661" s="48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64"/>
    </row>
    <row r="662" spans="1:13" ht="14.25" customHeight="1" x14ac:dyDescent="0.3">
      <c r="A662" s="48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64"/>
    </row>
    <row r="663" spans="1:13" ht="14.25" customHeight="1" x14ac:dyDescent="0.3">
      <c r="A663" s="48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64"/>
    </row>
    <row r="664" spans="1:13" ht="14.25" customHeight="1" x14ac:dyDescent="0.3">
      <c r="A664" s="48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64"/>
    </row>
    <row r="665" spans="1:13" ht="14.25" customHeight="1" x14ac:dyDescent="0.3">
      <c r="A665" s="48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64"/>
    </row>
    <row r="666" spans="1:13" ht="14.25" customHeight="1" x14ac:dyDescent="0.3">
      <c r="A666" s="48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64"/>
    </row>
    <row r="667" spans="1:13" ht="14.25" customHeight="1" x14ac:dyDescent="0.3">
      <c r="A667" s="48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64"/>
    </row>
    <row r="668" spans="1:13" ht="14.25" customHeight="1" x14ac:dyDescent="0.3">
      <c r="A668" s="48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64"/>
    </row>
    <row r="669" spans="1:13" ht="14.25" customHeight="1" x14ac:dyDescent="0.3">
      <c r="A669" s="48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64"/>
    </row>
    <row r="670" spans="1:13" ht="14.25" customHeight="1" x14ac:dyDescent="0.3">
      <c r="A670" s="48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64"/>
    </row>
    <row r="671" spans="1:13" ht="14.25" customHeight="1" x14ac:dyDescent="0.3">
      <c r="A671" s="48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64"/>
    </row>
    <row r="672" spans="1:13" ht="14.25" customHeight="1" x14ac:dyDescent="0.3">
      <c r="A672" s="48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64"/>
    </row>
    <row r="673" spans="1:13" ht="14.25" customHeight="1" x14ac:dyDescent="0.3">
      <c r="A673" s="48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64"/>
    </row>
    <row r="674" spans="1:13" ht="14.25" customHeight="1" x14ac:dyDescent="0.3">
      <c r="A674" s="48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64"/>
    </row>
    <row r="675" spans="1:13" ht="14.25" customHeight="1" x14ac:dyDescent="0.3">
      <c r="A675" s="48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64"/>
    </row>
    <row r="676" spans="1:13" ht="14.25" customHeight="1" x14ac:dyDescent="0.3">
      <c r="A676" s="48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64"/>
    </row>
    <row r="677" spans="1:13" ht="14.25" customHeight="1" x14ac:dyDescent="0.3">
      <c r="A677" s="48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64"/>
    </row>
    <row r="678" spans="1:13" ht="14.25" customHeight="1" x14ac:dyDescent="0.3">
      <c r="A678" s="48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64"/>
    </row>
    <row r="679" spans="1:13" ht="14.25" customHeight="1" x14ac:dyDescent="0.3">
      <c r="A679" s="48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64"/>
    </row>
    <row r="680" spans="1:13" ht="14.25" customHeight="1" x14ac:dyDescent="0.3">
      <c r="A680" s="48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64"/>
    </row>
    <row r="681" spans="1:13" ht="14.25" customHeight="1" x14ac:dyDescent="0.3">
      <c r="A681" s="48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64"/>
    </row>
    <row r="682" spans="1:13" ht="14.25" customHeight="1" x14ac:dyDescent="0.3">
      <c r="A682" s="48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64"/>
    </row>
    <row r="683" spans="1:13" ht="14.25" customHeight="1" x14ac:dyDescent="0.3">
      <c r="A683" s="48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64"/>
    </row>
    <row r="684" spans="1:13" ht="14.25" customHeight="1" x14ac:dyDescent="0.3">
      <c r="A684" s="48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64"/>
    </row>
    <row r="685" spans="1:13" ht="14.25" customHeight="1" x14ac:dyDescent="0.3">
      <c r="A685" s="48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64"/>
    </row>
    <row r="686" spans="1:13" ht="14.25" customHeight="1" x14ac:dyDescent="0.3">
      <c r="A686" s="48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64"/>
    </row>
    <row r="687" spans="1:13" ht="14.25" customHeight="1" x14ac:dyDescent="0.3">
      <c r="A687" s="48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64"/>
    </row>
    <row r="688" spans="1:13" ht="14.25" customHeight="1" x14ac:dyDescent="0.3">
      <c r="A688" s="48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64"/>
    </row>
    <row r="689" spans="1:13" ht="14.25" customHeight="1" x14ac:dyDescent="0.3">
      <c r="A689" s="48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64"/>
    </row>
    <row r="690" spans="1:13" ht="14.25" customHeight="1" x14ac:dyDescent="0.3">
      <c r="A690" s="48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64"/>
    </row>
    <row r="691" spans="1:13" ht="14.25" customHeight="1" x14ac:dyDescent="0.3">
      <c r="A691" s="48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64"/>
    </row>
    <row r="692" spans="1:13" ht="14.25" customHeight="1" x14ac:dyDescent="0.3">
      <c r="A692" s="48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64"/>
    </row>
    <row r="693" spans="1:13" ht="14.25" customHeight="1" x14ac:dyDescent="0.3">
      <c r="A693" s="48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64"/>
    </row>
    <row r="694" spans="1:13" ht="14.25" customHeight="1" x14ac:dyDescent="0.3">
      <c r="A694" s="48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64"/>
    </row>
    <row r="695" spans="1:13" ht="14.25" customHeight="1" x14ac:dyDescent="0.3">
      <c r="A695" s="48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64"/>
    </row>
    <row r="696" spans="1:13" ht="14.25" customHeight="1" x14ac:dyDescent="0.3">
      <c r="A696" s="48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64"/>
    </row>
    <row r="697" spans="1:13" ht="14.25" customHeight="1" x14ac:dyDescent="0.3">
      <c r="A697" s="48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64"/>
    </row>
    <row r="698" spans="1:13" ht="14.25" customHeight="1" x14ac:dyDescent="0.3">
      <c r="A698" s="48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64"/>
    </row>
    <row r="699" spans="1:13" ht="14.25" customHeight="1" x14ac:dyDescent="0.3">
      <c r="A699" s="48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64"/>
    </row>
    <row r="700" spans="1:13" ht="14.25" customHeight="1" x14ac:dyDescent="0.3">
      <c r="A700" s="48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64"/>
    </row>
    <row r="701" spans="1:13" ht="14.25" customHeight="1" x14ac:dyDescent="0.3">
      <c r="A701" s="48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64"/>
    </row>
    <row r="702" spans="1:13" ht="14.25" customHeight="1" x14ac:dyDescent="0.3">
      <c r="A702" s="48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64"/>
    </row>
    <row r="703" spans="1:13" ht="14.25" customHeight="1" x14ac:dyDescent="0.3">
      <c r="A703" s="48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64"/>
    </row>
    <row r="704" spans="1:13" ht="14.25" customHeight="1" x14ac:dyDescent="0.3">
      <c r="A704" s="48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64"/>
    </row>
    <row r="705" spans="1:13" ht="14.25" customHeight="1" x14ac:dyDescent="0.3">
      <c r="A705" s="48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64"/>
    </row>
    <row r="706" spans="1:13" ht="14.25" customHeight="1" x14ac:dyDescent="0.3">
      <c r="A706" s="48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64"/>
    </row>
    <row r="707" spans="1:13" ht="14.25" customHeight="1" x14ac:dyDescent="0.3">
      <c r="A707" s="48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64"/>
    </row>
    <row r="708" spans="1:13" ht="14.25" customHeight="1" x14ac:dyDescent="0.3">
      <c r="A708" s="48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64"/>
    </row>
    <row r="709" spans="1:13" ht="14.25" customHeight="1" x14ac:dyDescent="0.3">
      <c r="A709" s="48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64"/>
    </row>
    <row r="710" spans="1:13" ht="14.25" customHeight="1" x14ac:dyDescent="0.3">
      <c r="A710" s="48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64"/>
    </row>
    <row r="711" spans="1:13" ht="14.25" customHeight="1" x14ac:dyDescent="0.3">
      <c r="A711" s="48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64"/>
    </row>
    <row r="712" spans="1:13" ht="14.25" customHeight="1" x14ac:dyDescent="0.3">
      <c r="A712" s="48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64"/>
    </row>
    <row r="713" spans="1:13" ht="14.25" customHeight="1" x14ac:dyDescent="0.3">
      <c r="A713" s="48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64"/>
    </row>
    <row r="714" spans="1:13" ht="14.25" customHeight="1" x14ac:dyDescent="0.3">
      <c r="A714" s="48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64"/>
    </row>
    <row r="715" spans="1:13" ht="14.25" customHeight="1" x14ac:dyDescent="0.3">
      <c r="A715" s="48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64"/>
    </row>
    <row r="716" spans="1:13" ht="14.25" customHeight="1" x14ac:dyDescent="0.3">
      <c r="A716" s="48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64"/>
    </row>
    <row r="717" spans="1:13" ht="14.25" customHeight="1" x14ac:dyDescent="0.3">
      <c r="A717" s="48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64"/>
    </row>
    <row r="718" spans="1:13" ht="14.25" customHeight="1" x14ac:dyDescent="0.3">
      <c r="A718" s="48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64"/>
    </row>
    <row r="719" spans="1:13" ht="14.25" customHeight="1" x14ac:dyDescent="0.3">
      <c r="A719" s="48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64"/>
    </row>
    <row r="720" spans="1:13" ht="14.25" customHeight="1" x14ac:dyDescent="0.3">
      <c r="A720" s="48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64"/>
    </row>
    <row r="721" spans="1:13" ht="14.25" customHeight="1" x14ac:dyDescent="0.3">
      <c r="A721" s="48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64"/>
    </row>
    <row r="722" spans="1:13" ht="14.25" customHeight="1" x14ac:dyDescent="0.3">
      <c r="A722" s="48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64"/>
    </row>
    <row r="723" spans="1:13" ht="14.25" customHeight="1" x14ac:dyDescent="0.3">
      <c r="A723" s="48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64"/>
    </row>
    <row r="724" spans="1:13" ht="14.25" customHeight="1" x14ac:dyDescent="0.3">
      <c r="A724" s="48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64"/>
    </row>
    <row r="725" spans="1:13" ht="14.25" customHeight="1" x14ac:dyDescent="0.3">
      <c r="A725" s="48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64"/>
    </row>
    <row r="726" spans="1:13" ht="14.25" customHeight="1" x14ac:dyDescent="0.3">
      <c r="A726" s="48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64"/>
    </row>
    <row r="727" spans="1:13" ht="14.25" customHeight="1" x14ac:dyDescent="0.3">
      <c r="A727" s="48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64"/>
    </row>
    <row r="728" spans="1:13" ht="14.25" customHeight="1" x14ac:dyDescent="0.3">
      <c r="A728" s="48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64"/>
    </row>
    <row r="729" spans="1:13" ht="14.25" customHeight="1" x14ac:dyDescent="0.3">
      <c r="A729" s="48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64"/>
    </row>
    <row r="730" spans="1:13" ht="14.25" customHeight="1" x14ac:dyDescent="0.3">
      <c r="A730" s="48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64"/>
    </row>
    <row r="731" spans="1:13" ht="14.25" customHeight="1" x14ac:dyDescent="0.3">
      <c r="A731" s="48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64"/>
    </row>
    <row r="732" spans="1:13" ht="14.25" customHeight="1" x14ac:dyDescent="0.3">
      <c r="A732" s="48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64"/>
    </row>
    <row r="733" spans="1:13" ht="14.25" customHeight="1" x14ac:dyDescent="0.3">
      <c r="A733" s="48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64"/>
    </row>
    <row r="734" spans="1:13" ht="14.25" customHeight="1" x14ac:dyDescent="0.3">
      <c r="A734" s="48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64"/>
    </row>
    <row r="735" spans="1:13" ht="14.25" customHeight="1" x14ac:dyDescent="0.3">
      <c r="A735" s="48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64"/>
    </row>
    <row r="736" spans="1:13" ht="14.25" customHeight="1" x14ac:dyDescent="0.3">
      <c r="A736" s="48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64"/>
    </row>
    <row r="737" spans="1:13" ht="14.25" customHeight="1" x14ac:dyDescent="0.3">
      <c r="A737" s="48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64"/>
    </row>
    <row r="738" spans="1:13" ht="14.25" customHeight="1" x14ac:dyDescent="0.3">
      <c r="A738" s="48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64"/>
    </row>
    <row r="739" spans="1:13" ht="14.25" customHeight="1" x14ac:dyDescent="0.3">
      <c r="A739" s="48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64"/>
    </row>
    <row r="740" spans="1:13" ht="14.25" customHeight="1" x14ac:dyDescent="0.3">
      <c r="A740" s="48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64"/>
    </row>
    <row r="741" spans="1:13" ht="14.25" customHeight="1" x14ac:dyDescent="0.3">
      <c r="A741" s="48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64"/>
    </row>
    <row r="742" spans="1:13" ht="14.25" customHeight="1" x14ac:dyDescent="0.3">
      <c r="A742" s="48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64"/>
    </row>
    <row r="743" spans="1:13" ht="14.25" customHeight="1" x14ac:dyDescent="0.3">
      <c r="A743" s="48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64"/>
    </row>
    <row r="744" spans="1:13" ht="14.25" customHeight="1" x14ac:dyDescent="0.3">
      <c r="A744" s="48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64"/>
    </row>
    <row r="745" spans="1:13" ht="14.25" customHeight="1" x14ac:dyDescent="0.3">
      <c r="A745" s="48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64"/>
    </row>
    <row r="746" spans="1:13" ht="14.25" customHeight="1" x14ac:dyDescent="0.3">
      <c r="A746" s="48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64"/>
    </row>
    <row r="747" spans="1:13" ht="14.25" customHeight="1" x14ac:dyDescent="0.3">
      <c r="A747" s="48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64"/>
    </row>
    <row r="748" spans="1:13" ht="14.25" customHeight="1" x14ac:dyDescent="0.3">
      <c r="A748" s="48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64"/>
    </row>
    <row r="749" spans="1:13" ht="14.25" customHeight="1" x14ac:dyDescent="0.3">
      <c r="A749" s="48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64"/>
    </row>
    <row r="750" spans="1:13" ht="14.25" customHeight="1" x14ac:dyDescent="0.3">
      <c r="A750" s="48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64"/>
    </row>
    <row r="751" spans="1:13" ht="14.25" customHeight="1" x14ac:dyDescent="0.3">
      <c r="A751" s="48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64"/>
    </row>
    <row r="752" spans="1:13" ht="14.25" customHeight="1" x14ac:dyDescent="0.3">
      <c r="A752" s="48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64"/>
    </row>
    <row r="753" spans="1:13" ht="14.25" customHeight="1" x14ac:dyDescent="0.3">
      <c r="A753" s="48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64"/>
    </row>
    <row r="754" spans="1:13" ht="14.25" customHeight="1" x14ac:dyDescent="0.3">
      <c r="A754" s="48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64"/>
    </row>
    <row r="755" spans="1:13" ht="14.25" customHeight="1" x14ac:dyDescent="0.3">
      <c r="A755" s="48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64"/>
    </row>
    <row r="756" spans="1:13" ht="14.25" customHeight="1" x14ac:dyDescent="0.3">
      <c r="A756" s="48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64"/>
    </row>
    <row r="757" spans="1:13" ht="14.25" customHeight="1" x14ac:dyDescent="0.3">
      <c r="A757" s="48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64"/>
    </row>
    <row r="758" spans="1:13" ht="14.25" customHeight="1" x14ac:dyDescent="0.3">
      <c r="A758" s="48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64"/>
    </row>
    <row r="759" spans="1:13" ht="14.25" customHeight="1" x14ac:dyDescent="0.3">
      <c r="A759" s="48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64"/>
    </row>
    <row r="760" spans="1:13" ht="14.25" customHeight="1" x14ac:dyDescent="0.3">
      <c r="A760" s="48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64"/>
    </row>
    <row r="761" spans="1:13" ht="14.25" customHeight="1" x14ac:dyDescent="0.3">
      <c r="A761" s="48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64"/>
    </row>
    <row r="762" spans="1:13" ht="14.25" customHeight="1" x14ac:dyDescent="0.3">
      <c r="A762" s="48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64"/>
    </row>
    <row r="763" spans="1:13" ht="14.25" customHeight="1" x14ac:dyDescent="0.3">
      <c r="A763" s="48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64"/>
    </row>
    <row r="764" spans="1:13" ht="14.25" customHeight="1" x14ac:dyDescent="0.3">
      <c r="A764" s="48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64"/>
    </row>
    <row r="765" spans="1:13" ht="14.25" customHeight="1" x14ac:dyDescent="0.3">
      <c r="A765" s="48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64"/>
    </row>
    <row r="766" spans="1:13" ht="14.25" customHeight="1" x14ac:dyDescent="0.3">
      <c r="A766" s="48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64"/>
    </row>
    <row r="767" spans="1:13" ht="14.25" customHeight="1" x14ac:dyDescent="0.3">
      <c r="A767" s="48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64"/>
    </row>
    <row r="768" spans="1:13" ht="14.25" customHeight="1" x14ac:dyDescent="0.3">
      <c r="A768" s="48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64"/>
    </row>
    <row r="769" spans="1:13" ht="14.25" customHeight="1" x14ac:dyDescent="0.3">
      <c r="A769" s="48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64"/>
    </row>
    <row r="770" spans="1:13" ht="14.25" customHeight="1" x14ac:dyDescent="0.3">
      <c r="A770" s="48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64"/>
    </row>
    <row r="771" spans="1:13" ht="14.25" customHeight="1" x14ac:dyDescent="0.3">
      <c r="A771" s="48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64"/>
    </row>
    <row r="772" spans="1:13" ht="14.25" customHeight="1" x14ac:dyDescent="0.3">
      <c r="A772" s="48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64"/>
    </row>
    <row r="773" spans="1:13" ht="14.25" customHeight="1" x14ac:dyDescent="0.3">
      <c r="A773" s="48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64"/>
    </row>
    <row r="774" spans="1:13" ht="14.25" customHeight="1" x14ac:dyDescent="0.3">
      <c r="A774" s="48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64"/>
    </row>
    <row r="775" spans="1:13" ht="14.25" customHeight="1" x14ac:dyDescent="0.3">
      <c r="A775" s="48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64"/>
    </row>
    <row r="776" spans="1:13" ht="14.25" customHeight="1" x14ac:dyDescent="0.3">
      <c r="A776" s="48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64"/>
    </row>
    <row r="777" spans="1:13" ht="14.25" customHeight="1" x14ac:dyDescent="0.3">
      <c r="A777" s="48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64"/>
    </row>
    <row r="778" spans="1:13" ht="14.25" customHeight="1" x14ac:dyDescent="0.3">
      <c r="A778" s="48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64"/>
    </row>
    <row r="779" spans="1:13" ht="14.25" customHeight="1" x14ac:dyDescent="0.3">
      <c r="A779" s="48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64"/>
    </row>
    <row r="780" spans="1:13" ht="14.25" customHeight="1" x14ac:dyDescent="0.3">
      <c r="A780" s="48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64"/>
    </row>
    <row r="781" spans="1:13" ht="14.25" customHeight="1" x14ac:dyDescent="0.3">
      <c r="A781" s="48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64"/>
    </row>
    <row r="782" spans="1:13" ht="14.25" customHeight="1" x14ac:dyDescent="0.3">
      <c r="A782" s="48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64"/>
    </row>
    <row r="783" spans="1:13" ht="14.25" customHeight="1" x14ac:dyDescent="0.3">
      <c r="A783" s="48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64"/>
    </row>
    <row r="784" spans="1:13" ht="14.25" customHeight="1" x14ac:dyDescent="0.3">
      <c r="A784" s="48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64"/>
    </row>
    <row r="785" spans="1:13" ht="14.25" customHeight="1" x14ac:dyDescent="0.3">
      <c r="A785" s="48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64"/>
    </row>
    <row r="786" spans="1:13" ht="14.25" customHeight="1" x14ac:dyDescent="0.3">
      <c r="A786" s="48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64"/>
    </row>
    <row r="787" spans="1:13" ht="14.25" customHeight="1" x14ac:dyDescent="0.3">
      <c r="A787" s="48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64"/>
    </row>
    <row r="788" spans="1:13" ht="14.25" customHeight="1" x14ac:dyDescent="0.3">
      <c r="A788" s="48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64"/>
    </row>
    <row r="789" spans="1:13" ht="14.25" customHeight="1" x14ac:dyDescent="0.3">
      <c r="A789" s="48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64"/>
    </row>
    <row r="790" spans="1:13" ht="14.25" customHeight="1" x14ac:dyDescent="0.3">
      <c r="A790" s="48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64"/>
    </row>
    <row r="791" spans="1:13" ht="14.25" customHeight="1" x14ac:dyDescent="0.3">
      <c r="A791" s="48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64"/>
    </row>
    <row r="792" spans="1:13" ht="14.25" customHeight="1" x14ac:dyDescent="0.3">
      <c r="A792" s="48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64"/>
    </row>
    <row r="793" spans="1:13" ht="14.25" customHeight="1" x14ac:dyDescent="0.3">
      <c r="A793" s="48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64"/>
    </row>
    <row r="794" spans="1:13" ht="14.25" customHeight="1" x14ac:dyDescent="0.3">
      <c r="A794" s="48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64"/>
    </row>
    <row r="795" spans="1:13" ht="14.25" customHeight="1" x14ac:dyDescent="0.3">
      <c r="A795" s="48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64"/>
    </row>
    <row r="796" spans="1:13" ht="14.25" customHeight="1" x14ac:dyDescent="0.3">
      <c r="A796" s="48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64"/>
    </row>
    <row r="797" spans="1:13" ht="14.25" customHeight="1" x14ac:dyDescent="0.3">
      <c r="A797" s="48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64"/>
    </row>
    <row r="798" spans="1:13" ht="14.25" customHeight="1" x14ac:dyDescent="0.3">
      <c r="A798" s="48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64"/>
    </row>
    <row r="799" spans="1:13" ht="14.25" customHeight="1" x14ac:dyDescent="0.3">
      <c r="A799" s="48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64"/>
    </row>
    <row r="800" spans="1:13" ht="14.25" customHeight="1" x14ac:dyDescent="0.3">
      <c r="A800" s="48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64"/>
    </row>
    <row r="801" spans="1:13" ht="14.25" customHeight="1" x14ac:dyDescent="0.3">
      <c r="A801" s="48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64"/>
    </row>
    <row r="802" spans="1:13" ht="14.25" customHeight="1" x14ac:dyDescent="0.3">
      <c r="A802" s="48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64"/>
    </row>
    <row r="803" spans="1:13" ht="14.25" customHeight="1" x14ac:dyDescent="0.3">
      <c r="A803" s="48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64"/>
    </row>
    <row r="804" spans="1:13" ht="14.25" customHeight="1" x14ac:dyDescent="0.3">
      <c r="A804" s="48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64"/>
    </row>
    <row r="805" spans="1:13" ht="14.25" customHeight="1" x14ac:dyDescent="0.3">
      <c r="A805" s="48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64"/>
    </row>
    <row r="806" spans="1:13" ht="14.25" customHeight="1" x14ac:dyDescent="0.3">
      <c r="A806" s="48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64"/>
    </row>
    <row r="807" spans="1:13" ht="14.25" customHeight="1" x14ac:dyDescent="0.3">
      <c r="A807" s="48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64"/>
    </row>
    <row r="808" spans="1:13" ht="14.25" customHeight="1" x14ac:dyDescent="0.3">
      <c r="A808" s="48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64"/>
    </row>
    <row r="809" spans="1:13" ht="14.25" customHeight="1" x14ac:dyDescent="0.3">
      <c r="A809" s="48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64"/>
    </row>
    <row r="810" spans="1:13" ht="14.25" customHeight="1" x14ac:dyDescent="0.3">
      <c r="A810" s="48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64"/>
    </row>
    <row r="811" spans="1:13" ht="14.25" customHeight="1" x14ac:dyDescent="0.3">
      <c r="A811" s="48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64"/>
    </row>
    <row r="812" spans="1:13" ht="14.25" customHeight="1" x14ac:dyDescent="0.3">
      <c r="A812" s="48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64"/>
    </row>
    <row r="813" spans="1:13" ht="14.25" customHeight="1" x14ac:dyDescent="0.3">
      <c r="A813" s="48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64"/>
    </row>
    <row r="814" spans="1:13" ht="14.25" customHeight="1" x14ac:dyDescent="0.3">
      <c r="A814" s="48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64"/>
    </row>
    <row r="815" spans="1:13" ht="14.25" customHeight="1" x14ac:dyDescent="0.3">
      <c r="A815" s="48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64"/>
    </row>
    <row r="816" spans="1:13" ht="14.25" customHeight="1" x14ac:dyDescent="0.3">
      <c r="A816" s="48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64"/>
    </row>
    <row r="817" spans="1:13" ht="14.25" customHeight="1" x14ac:dyDescent="0.3">
      <c r="A817" s="48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64"/>
    </row>
    <row r="818" spans="1:13" ht="14.25" customHeight="1" x14ac:dyDescent="0.3">
      <c r="A818" s="48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64"/>
    </row>
    <row r="819" spans="1:13" ht="14.25" customHeight="1" x14ac:dyDescent="0.3">
      <c r="A819" s="48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64"/>
    </row>
    <row r="820" spans="1:13" ht="14.25" customHeight="1" x14ac:dyDescent="0.3">
      <c r="A820" s="48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64"/>
    </row>
    <row r="821" spans="1:13" ht="14.25" customHeight="1" x14ac:dyDescent="0.3">
      <c r="A821" s="48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64"/>
    </row>
    <row r="822" spans="1:13" ht="14.25" customHeight="1" x14ac:dyDescent="0.3">
      <c r="A822" s="48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64"/>
    </row>
    <row r="823" spans="1:13" ht="14.25" customHeight="1" x14ac:dyDescent="0.3">
      <c r="A823" s="48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64"/>
    </row>
    <row r="824" spans="1:13" ht="14.25" customHeight="1" x14ac:dyDescent="0.3">
      <c r="A824" s="48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64"/>
    </row>
    <row r="825" spans="1:13" ht="14.25" customHeight="1" x14ac:dyDescent="0.3">
      <c r="A825" s="48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64"/>
    </row>
    <row r="826" spans="1:13" ht="14.25" customHeight="1" x14ac:dyDescent="0.3">
      <c r="A826" s="48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64"/>
    </row>
    <row r="827" spans="1:13" ht="14.25" customHeight="1" x14ac:dyDescent="0.3">
      <c r="A827" s="48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64"/>
    </row>
    <row r="828" spans="1:13" ht="14.25" customHeight="1" x14ac:dyDescent="0.3">
      <c r="A828" s="48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64"/>
    </row>
    <row r="829" spans="1:13" ht="14.25" customHeight="1" x14ac:dyDescent="0.3">
      <c r="A829" s="48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64"/>
    </row>
    <row r="830" spans="1:13" ht="14.25" customHeight="1" x14ac:dyDescent="0.3">
      <c r="A830" s="48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64"/>
    </row>
    <row r="831" spans="1:13" ht="14.25" customHeight="1" x14ac:dyDescent="0.3">
      <c r="A831" s="48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64"/>
    </row>
    <row r="832" spans="1:13" ht="14.25" customHeight="1" x14ac:dyDescent="0.3">
      <c r="A832" s="48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64"/>
    </row>
    <row r="833" spans="1:13" ht="14.25" customHeight="1" x14ac:dyDescent="0.3">
      <c r="A833" s="48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64"/>
    </row>
    <row r="834" spans="1:13" ht="14.25" customHeight="1" x14ac:dyDescent="0.3">
      <c r="A834" s="48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64"/>
    </row>
    <row r="835" spans="1:13" ht="14.25" customHeight="1" x14ac:dyDescent="0.3">
      <c r="A835" s="48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64"/>
    </row>
    <row r="836" spans="1:13" ht="14.25" customHeight="1" x14ac:dyDescent="0.3">
      <c r="A836" s="48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64"/>
    </row>
    <row r="837" spans="1:13" ht="14.25" customHeight="1" x14ac:dyDescent="0.3">
      <c r="A837" s="48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64"/>
    </row>
    <row r="838" spans="1:13" ht="14.25" customHeight="1" x14ac:dyDescent="0.3">
      <c r="A838" s="48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64"/>
    </row>
    <row r="839" spans="1:13" ht="14.25" customHeight="1" x14ac:dyDescent="0.3">
      <c r="A839" s="48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64"/>
    </row>
    <row r="840" spans="1:13" ht="14.25" customHeight="1" x14ac:dyDescent="0.3">
      <c r="A840" s="48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64"/>
    </row>
    <row r="841" spans="1:13" ht="14.25" customHeight="1" x14ac:dyDescent="0.3">
      <c r="A841" s="48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64"/>
    </row>
    <row r="842" spans="1:13" ht="14.25" customHeight="1" x14ac:dyDescent="0.3">
      <c r="A842" s="48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64"/>
    </row>
    <row r="843" spans="1:13" ht="14.25" customHeight="1" x14ac:dyDescent="0.3">
      <c r="A843" s="48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64"/>
    </row>
    <row r="844" spans="1:13" ht="14.25" customHeight="1" x14ac:dyDescent="0.3">
      <c r="A844" s="48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64"/>
    </row>
    <row r="845" spans="1:13" ht="14.25" customHeight="1" x14ac:dyDescent="0.3">
      <c r="A845" s="48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64"/>
    </row>
    <row r="846" spans="1:13" ht="14.25" customHeight="1" x14ac:dyDescent="0.3">
      <c r="A846" s="48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64"/>
    </row>
    <row r="847" spans="1:13" ht="14.25" customHeight="1" x14ac:dyDescent="0.3">
      <c r="A847" s="48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64"/>
    </row>
    <row r="848" spans="1:13" ht="14.25" customHeight="1" x14ac:dyDescent="0.3">
      <c r="A848" s="48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64"/>
    </row>
    <row r="849" spans="1:13" ht="14.25" customHeight="1" x14ac:dyDescent="0.3">
      <c r="A849" s="48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64"/>
    </row>
    <row r="850" spans="1:13" ht="14.25" customHeight="1" x14ac:dyDescent="0.3">
      <c r="A850" s="48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64"/>
    </row>
    <row r="851" spans="1:13" ht="14.25" customHeight="1" x14ac:dyDescent="0.3">
      <c r="A851" s="48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64"/>
    </row>
    <row r="852" spans="1:13" ht="14.25" customHeight="1" x14ac:dyDescent="0.3">
      <c r="A852" s="48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64"/>
    </row>
    <row r="853" spans="1:13" ht="14.25" customHeight="1" x14ac:dyDescent="0.3">
      <c r="A853" s="48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64"/>
    </row>
    <row r="854" spans="1:13" ht="14.25" customHeight="1" x14ac:dyDescent="0.3">
      <c r="A854" s="48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64"/>
    </row>
    <row r="855" spans="1:13" ht="14.25" customHeight="1" x14ac:dyDescent="0.3">
      <c r="A855" s="48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64"/>
    </row>
    <row r="856" spans="1:13" ht="14.25" customHeight="1" x14ac:dyDescent="0.3">
      <c r="A856" s="48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64"/>
    </row>
    <row r="857" spans="1:13" ht="14.25" customHeight="1" x14ac:dyDescent="0.3">
      <c r="A857" s="48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64"/>
    </row>
    <row r="858" spans="1:13" ht="14.25" customHeight="1" x14ac:dyDescent="0.3">
      <c r="A858" s="48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64"/>
    </row>
    <row r="859" spans="1:13" ht="14.25" customHeight="1" x14ac:dyDescent="0.3">
      <c r="A859" s="48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64"/>
    </row>
    <row r="860" spans="1:13" ht="14.25" customHeight="1" x14ac:dyDescent="0.3">
      <c r="A860" s="48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64"/>
    </row>
    <row r="861" spans="1:13" ht="14.25" customHeight="1" x14ac:dyDescent="0.3">
      <c r="A861" s="48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64"/>
    </row>
    <row r="862" spans="1:13" ht="14.25" customHeight="1" x14ac:dyDescent="0.3">
      <c r="A862" s="48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64"/>
    </row>
    <row r="863" spans="1:13" ht="14.25" customHeight="1" x14ac:dyDescent="0.3">
      <c r="A863" s="48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64"/>
    </row>
    <row r="864" spans="1:13" ht="14.25" customHeight="1" x14ac:dyDescent="0.3">
      <c r="A864" s="48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64"/>
    </row>
    <row r="865" spans="1:13" ht="14.25" customHeight="1" x14ac:dyDescent="0.3">
      <c r="A865" s="48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64"/>
    </row>
    <row r="866" spans="1:13" ht="14.25" customHeight="1" x14ac:dyDescent="0.3">
      <c r="A866" s="48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64"/>
    </row>
    <row r="867" spans="1:13" ht="14.25" customHeight="1" x14ac:dyDescent="0.3">
      <c r="A867" s="48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64"/>
    </row>
    <row r="868" spans="1:13" ht="14.25" customHeight="1" x14ac:dyDescent="0.3">
      <c r="A868" s="48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64"/>
    </row>
    <row r="869" spans="1:13" ht="14.25" customHeight="1" x14ac:dyDescent="0.3">
      <c r="A869" s="48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64"/>
    </row>
    <row r="870" spans="1:13" ht="14.25" customHeight="1" x14ac:dyDescent="0.3">
      <c r="A870" s="48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64"/>
    </row>
    <row r="871" spans="1:13" ht="14.25" customHeight="1" x14ac:dyDescent="0.3">
      <c r="A871" s="48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64"/>
    </row>
    <row r="872" spans="1:13" ht="14.25" customHeight="1" x14ac:dyDescent="0.3">
      <c r="A872" s="48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64"/>
    </row>
    <row r="873" spans="1:13" ht="14.25" customHeight="1" x14ac:dyDescent="0.3">
      <c r="A873" s="48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64"/>
    </row>
    <row r="874" spans="1:13" ht="14.25" customHeight="1" x14ac:dyDescent="0.3">
      <c r="A874" s="48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64"/>
    </row>
    <row r="875" spans="1:13" ht="14.25" customHeight="1" x14ac:dyDescent="0.3">
      <c r="A875" s="48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64"/>
    </row>
    <row r="876" spans="1:13" ht="14.25" customHeight="1" x14ac:dyDescent="0.3">
      <c r="A876" s="48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64"/>
    </row>
    <row r="877" spans="1:13" ht="14.25" customHeight="1" x14ac:dyDescent="0.3">
      <c r="A877" s="48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64"/>
    </row>
    <row r="878" spans="1:13" ht="14.25" customHeight="1" x14ac:dyDescent="0.3">
      <c r="A878" s="48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64"/>
    </row>
    <row r="879" spans="1:13" ht="14.25" customHeight="1" x14ac:dyDescent="0.3">
      <c r="A879" s="48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64"/>
    </row>
    <row r="880" spans="1:13" ht="14.25" customHeight="1" x14ac:dyDescent="0.3">
      <c r="A880" s="48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64"/>
    </row>
    <row r="881" spans="1:13" ht="14.25" customHeight="1" x14ac:dyDescent="0.3">
      <c r="A881" s="48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64"/>
    </row>
    <row r="882" spans="1:13" ht="14.25" customHeight="1" x14ac:dyDescent="0.3">
      <c r="A882" s="48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64"/>
    </row>
    <row r="883" spans="1:13" ht="14.25" customHeight="1" x14ac:dyDescent="0.3">
      <c r="A883" s="48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64"/>
    </row>
    <row r="884" spans="1:13" ht="14.25" customHeight="1" x14ac:dyDescent="0.3">
      <c r="A884" s="48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64"/>
    </row>
    <row r="885" spans="1:13" ht="14.25" customHeight="1" x14ac:dyDescent="0.3">
      <c r="A885" s="48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64"/>
    </row>
    <row r="886" spans="1:13" ht="14.25" customHeight="1" x14ac:dyDescent="0.3">
      <c r="A886" s="48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64"/>
    </row>
    <row r="887" spans="1:13" ht="14.25" customHeight="1" x14ac:dyDescent="0.3">
      <c r="A887" s="48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64"/>
    </row>
    <row r="888" spans="1:13" ht="14.25" customHeight="1" x14ac:dyDescent="0.3">
      <c r="A888" s="48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64"/>
    </row>
    <row r="889" spans="1:13" ht="14.25" customHeight="1" x14ac:dyDescent="0.3">
      <c r="A889" s="48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64"/>
    </row>
    <row r="890" spans="1:13" ht="14.25" customHeight="1" x14ac:dyDescent="0.3">
      <c r="A890" s="48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64"/>
    </row>
    <row r="891" spans="1:13" ht="14.25" customHeight="1" x14ac:dyDescent="0.3">
      <c r="A891" s="48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64"/>
    </row>
    <row r="892" spans="1:13" ht="14.25" customHeight="1" x14ac:dyDescent="0.3">
      <c r="A892" s="48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64"/>
    </row>
    <row r="893" spans="1:13" ht="14.25" customHeight="1" x14ac:dyDescent="0.3">
      <c r="A893" s="48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64"/>
    </row>
    <row r="894" spans="1:13" ht="14.25" customHeight="1" x14ac:dyDescent="0.3">
      <c r="A894" s="48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64"/>
    </row>
    <row r="895" spans="1:13" ht="14.25" customHeight="1" x14ac:dyDescent="0.3">
      <c r="A895" s="48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64"/>
    </row>
    <row r="896" spans="1:13" ht="14.25" customHeight="1" x14ac:dyDescent="0.3">
      <c r="A896" s="48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64"/>
    </row>
    <row r="897" spans="1:13" ht="14.25" customHeight="1" x14ac:dyDescent="0.3">
      <c r="A897" s="48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64"/>
    </row>
    <row r="898" spans="1:13" ht="14.25" customHeight="1" x14ac:dyDescent="0.3">
      <c r="A898" s="48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64"/>
    </row>
    <row r="899" spans="1:13" ht="14.25" customHeight="1" x14ac:dyDescent="0.3">
      <c r="A899" s="48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64"/>
    </row>
    <row r="900" spans="1:13" ht="14.25" customHeight="1" x14ac:dyDescent="0.3">
      <c r="A900" s="48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64"/>
    </row>
    <row r="901" spans="1:13" ht="14.25" customHeight="1" x14ac:dyDescent="0.3">
      <c r="A901" s="48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64"/>
    </row>
    <row r="902" spans="1:13" ht="14.25" customHeight="1" x14ac:dyDescent="0.3">
      <c r="A902" s="48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64"/>
    </row>
    <row r="903" spans="1:13" ht="14.25" customHeight="1" x14ac:dyDescent="0.3">
      <c r="A903" s="48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64"/>
    </row>
    <row r="904" spans="1:13" ht="14.25" customHeight="1" x14ac:dyDescent="0.3">
      <c r="A904" s="48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64"/>
    </row>
    <row r="905" spans="1:13" ht="14.25" customHeight="1" x14ac:dyDescent="0.3">
      <c r="A905" s="48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64"/>
    </row>
    <row r="906" spans="1:13" ht="14.25" customHeight="1" x14ac:dyDescent="0.3">
      <c r="A906" s="48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64"/>
    </row>
    <row r="907" spans="1:13" ht="14.25" customHeight="1" x14ac:dyDescent="0.3">
      <c r="A907" s="48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64"/>
    </row>
    <row r="908" spans="1:13" ht="14.25" customHeight="1" x14ac:dyDescent="0.3">
      <c r="A908" s="48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64"/>
    </row>
    <row r="909" spans="1:13" ht="14.25" customHeight="1" x14ac:dyDescent="0.3">
      <c r="A909" s="48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64"/>
    </row>
    <row r="910" spans="1:13" ht="14.25" customHeight="1" x14ac:dyDescent="0.3">
      <c r="A910" s="48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64"/>
    </row>
    <row r="911" spans="1:13" ht="14.25" customHeight="1" x14ac:dyDescent="0.3">
      <c r="A911" s="48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64"/>
    </row>
    <row r="912" spans="1:13" ht="14.25" customHeight="1" x14ac:dyDescent="0.3">
      <c r="A912" s="48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64"/>
    </row>
    <row r="913" spans="1:13" ht="14.25" customHeight="1" x14ac:dyDescent="0.3">
      <c r="A913" s="48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64"/>
    </row>
    <row r="914" spans="1:13" ht="14.25" customHeight="1" x14ac:dyDescent="0.3">
      <c r="A914" s="48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64"/>
    </row>
    <row r="915" spans="1:13" ht="14.25" customHeight="1" x14ac:dyDescent="0.3">
      <c r="A915" s="48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64"/>
    </row>
    <row r="916" spans="1:13" ht="14.25" customHeight="1" x14ac:dyDescent="0.3">
      <c r="A916" s="48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64"/>
    </row>
    <row r="917" spans="1:13" ht="14.25" customHeight="1" x14ac:dyDescent="0.3">
      <c r="A917" s="48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64"/>
    </row>
    <row r="918" spans="1:13" ht="14.25" customHeight="1" x14ac:dyDescent="0.3">
      <c r="A918" s="48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64"/>
    </row>
    <row r="919" spans="1:13" ht="14.25" customHeight="1" x14ac:dyDescent="0.3">
      <c r="A919" s="48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64"/>
    </row>
    <row r="920" spans="1:13" ht="14.25" customHeight="1" x14ac:dyDescent="0.3">
      <c r="A920" s="48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64"/>
    </row>
    <row r="921" spans="1:13" ht="14.25" customHeight="1" x14ac:dyDescent="0.3">
      <c r="A921" s="48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64"/>
    </row>
    <row r="922" spans="1:13" ht="14.25" customHeight="1" x14ac:dyDescent="0.3">
      <c r="A922" s="48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64"/>
    </row>
    <row r="923" spans="1:13" ht="14.25" customHeight="1" x14ac:dyDescent="0.3">
      <c r="A923" s="48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64"/>
    </row>
    <row r="924" spans="1:13" ht="14.25" customHeight="1" x14ac:dyDescent="0.3">
      <c r="A924" s="48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64"/>
    </row>
    <row r="925" spans="1:13" ht="14.25" customHeight="1" x14ac:dyDescent="0.3">
      <c r="A925" s="48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64"/>
    </row>
    <row r="926" spans="1:13" ht="14.25" customHeight="1" x14ac:dyDescent="0.3">
      <c r="A926" s="48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64"/>
    </row>
    <row r="927" spans="1:13" ht="14.25" customHeight="1" x14ac:dyDescent="0.3">
      <c r="A927" s="48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64"/>
    </row>
    <row r="928" spans="1:13" ht="14.25" customHeight="1" x14ac:dyDescent="0.3">
      <c r="A928" s="48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64"/>
    </row>
    <row r="929" spans="1:13" ht="14.25" customHeight="1" x14ac:dyDescent="0.3">
      <c r="A929" s="48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64"/>
    </row>
    <row r="930" spans="1:13" ht="14.25" customHeight="1" x14ac:dyDescent="0.3">
      <c r="A930" s="48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64"/>
    </row>
    <row r="931" spans="1:13" ht="14.25" customHeight="1" x14ac:dyDescent="0.3">
      <c r="A931" s="48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64"/>
    </row>
    <row r="932" spans="1:13" ht="14.25" customHeight="1" x14ac:dyDescent="0.3">
      <c r="A932" s="48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64"/>
    </row>
    <row r="933" spans="1:13" ht="14.25" customHeight="1" x14ac:dyDescent="0.3">
      <c r="A933" s="48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64"/>
    </row>
    <row r="934" spans="1:13" ht="14.25" customHeight="1" x14ac:dyDescent="0.3">
      <c r="A934" s="48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64"/>
    </row>
    <row r="935" spans="1:13" ht="14.25" customHeight="1" x14ac:dyDescent="0.3">
      <c r="A935" s="48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64"/>
    </row>
    <row r="936" spans="1:13" ht="14.25" customHeight="1" x14ac:dyDescent="0.3">
      <c r="A936" s="48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64"/>
    </row>
    <row r="937" spans="1:13" ht="14.25" customHeight="1" x14ac:dyDescent="0.3">
      <c r="A937" s="48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64"/>
    </row>
    <row r="938" spans="1:13" ht="14.25" customHeight="1" x14ac:dyDescent="0.3">
      <c r="A938" s="48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64"/>
    </row>
    <row r="939" spans="1:13" ht="14.25" customHeight="1" x14ac:dyDescent="0.3">
      <c r="A939" s="48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64"/>
    </row>
    <row r="940" spans="1:13" ht="14.25" customHeight="1" x14ac:dyDescent="0.3">
      <c r="A940" s="48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64"/>
    </row>
    <row r="941" spans="1:13" ht="14.25" customHeight="1" x14ac:dyDescent="0.3">
      <c r="A941" s="48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64"/>
    </row>
    <row r="942" spans="1:13" ht="14.25" customHeight="1" x14ac:dyDescent="0.3">
      <c r="A942" s="48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64"/>
    </row>
    <row r="943" spans="1:13" ht="14.25" customHeight="1" x14ac:dyDescent="0.3">
      <c r="A943" s="48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64"/>
    </row>
    <row r="944" spans="1:13" ht="14.25" customHeight="1" x14ac:dyDescent="0.3">
      <c r="A944" s="48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64"/>
    </row>
    <row r="945" spans="1:13" ht="14.25" customHeight="1" x14ac:dyDescent="0.3">
      <c r="A945" s="48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64"/>
    </row>
    <row r="946" spans="1:13" ht="14.25" customHeight="1" x14ac:dyDescent="0.3">
      <c r="A946" s="48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64"/>
    </row>
    <row r="947" spans="1:13" ht="14.25" customHeight="1" x14ac:dyDescent="0.3">
      <c r="A947" s="48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64"/>
    </row>
    <row r="948" spans="1:13" ht="14.25" customHeight="1" x14ac:dyDescent="0.3">
      <c r="A948" s="48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64"/>
    </row>
    <row r="949" spans="1:13" ht="14.25" customHeight="1" x14ac:dyDescent="0.3">
      <c r="A949" s="48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64"/>
    </row>
    <row r="950" spans="1:13" ht="14.25" customHeight="1" x14ac:dyDescent="0.3">
      <c r="A950" s="48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64"/>
    </row>
    <row r="951" spans="1:13" ht="14.25" customHeight="1" x14ac:dyDescent="0.3">
      <c r="A951" s="48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64"/>
    </row>
    <row r="952" spans="1:13" ht="14.25" customHeight="1" x14ac:dyDescent="0.3">
      <c r="A952" s="48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64"/>
    </row>
    <row r="953" spans="1:13" ht="14.25" customHeight="1" x14ac:dyDescent="0.3">
      <c r="A953" s="48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64"/>
    </row>
    <row r="954" spans="1:13" ht="14.25" customHeight="1" x14ac:dyDescent="0.3">
      <c r="A954" s="48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64"/>
    </row>
    <row r="955" spans="1:13" ht="14.25" customHeight="1" x14ac:dyDescent="0.3">
      <c r="A955" s="48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64"/>
    </row>
    <row r="956" spans="1:13" ht="14.25" customHeight="1" x14ac:dyDescent="0.3">
      <c r="A956" s="48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64"/>
    </row>
    <row r="957" spans="1:13" ht="14.25" customHeight="1" x14ac:dyDescent="0.3">
      <c r="A957" s="48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64"/>
    </row>
    <row r="958" spans="1:13" ht="14.25" customHeight="1" x14ac:dyDescent="0.3">
      <c r="A958" s="48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64"/>
    </row>
    <row r="959" spans="1:13" ht="14.25" customHeight="1" x14ac:dyDescent="0.3">
      <c r="A959" s="48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64"/>
    </row>
    <row r="960" spans="1:13" ht="14.25" customHeight="1" x14ac:dyDescent="0.3">
      <c r="A960" s="48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64"/>
    </row>
    <row r="961" spans="1:13" ht="14.25" customHeight="1" x14ac:dyDescent="0.3">
      <c r="A961" s="48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64"/>
    </row>
    <row r="962" spans="1:13" ht="14.25" customHeight="1" x14ac:dyDescent="0.3">
      <c r="A962" s="48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64"/>
    </row>
    <row r="963" spans="1:13" ht="14.25" customHeight="1" x14ac:dyDescent="0.3">
      <c r="A963" s="48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64"/>
    </row>
    <row r="964" spans="1:13" ht="14.25" customHeight="1" x14ac:dyDescent="0.3">
      <c r="A964" s="48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64"/>
    </row>
    <row r="965" spans="1:13" ht="14.25" customHeight="1" x14ac:dyDescent="0.3">
      <c r="A965" s="48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64"/>
    </row>
    <row r="966" spans="1:13" ht="14.25" customHeight="1" x14ac:dyDescent="0.3">
      <c r="A966" s="48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64"/>
    </row>
    <row r="967" spans="1:13" ht="14.25" customHeight="1" x14ac:dyDescent="0.3">
      <c r="A967" s="48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64"/>
    </row>
    <row r="968" spans="1:13" ht="14.25" customHeight="1" x14ac:dyDescent="0.3">
      <c r="A968" s="48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64"/>
    </row>
    <row r="969" spans="1:13" ht="14.25" customHeight="1" x14ac:dyDescent="0.3">
      <c r="A969" s="48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64"/>
    </row>
    <row r="970" spans="1:13" ht="14.25" customHeight="1" x14ac:dyDescent="0.3">
      <c r="A970" s="48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64"/>
    </row>
    <row r="971" spans="1:13" ht="14.25" customHeight="1" x14ac:dyDescent="0.3">
      <c r="A971" s="48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64"/>
    </row>
    <row r="972" spans="1:13" ht="14.25" customHeight="1" x14ac:dyDescent="0.3">
      <c r="A972" s="48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64"/>
    </row>
    <row r="973" spans="1:13" ht="14.25" customHeight="1" x14ac:dyDescent="0.3">
      <c r="A973" s="48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64"/>
    </row>
    <row r="974" spans="1:13" ht="14.25" customHeight="1" x14ac:dyDescent="0.3">
      <c r="A974" s="48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64"/>
    </row>
    <row r="975" spans="1:13" ht="14.25" customHeight="1" x14ac:dyDescent="0.3">
      <c r="A975" s="48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64"/>
    </row>
    <row r="976" spans="1:13" ht="14.25" customHeight="1" x14ac:dyDescent="0.3">
      <c r="A976" s="48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64"/>
    </row>
    <row r="977" spans="1:13" ht="14.25" customHeight="1" x14ac:dyDescent="0.3">
      <c r="A977" s="48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64"/>
    </row>
    <row r="978" spans="1:13" ht="14.25" customHeight="1" x14ac:dyDescent="0.3">
      <c r="A978" s="48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64"/>
    </row>
    <row r="979" spans="1:13" ht="14.25" customHeight="1" x14ac:dyDescent="0.3">
      <c r="A979" s="48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64"/>
    </row>
    <row r="980" spans="1:13" ht="14.25" customHeight="1" x14ac:dyDescent="0.3">
      <c r="A980" s="48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64"/>
    </row>
    <row r="981" spans="1:13" ht="14.25" customHeight="1" x14ac:dyDescent="0.3">
      <c r="A981" s="48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64"/>
    </row>
    <row r="982" spans="1:13" ht="14.25" customHeight="1" x14ac:dyDescent="0.3">
      <c r="A982" s="48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64"/>
    </row>
    <row r="983" spans="1:13" ht="14.25" customHeight="1" x14ac:dyDescent="0.3">
      <c r="A983" s="48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64"/>
    </row>
    <row r="984" spans="1:13" ht="14.25" customHeight="1" x14ac:dyDescent="0.3">
      <c r="A984" s="48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64"/>
    </row>
    <row r="985" spans="1:13" ht="14.25" customHeight="1" x14ac:dyDescent="0.3">
      <c r="A985" s="48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64"/>
    </row>
    <row r="986" spans="1:13" ht="14.25" customHeight="1" x14ac:dyDescent="0.3">
      <c r="A986" s="48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64"/>
    </row>
    <row r="987" spans="1:13" ht="14.25" customHeight="1" x14ac:dyDescent="0.3">
      <c r="A987" s="48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64"/>
    </row>
    <row r="988" spans="1:13" ht="14.25" customHeight="1" x14ac:dyDescent="0.3">
      <c r="A988" s="48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64"/>
    </row>
    <row r="989" spans="1:13" ht="14.25" customHeight="1" x14ac:dyDescent="0.3">
      <c r="A989" s="48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64"/>
    </row>
    <row r="990" spans="1:13" ht="14.25" customHeight="1" x14ac:dyDescent="0.3">
      <c r="A990" s="48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64"/>
    </row>
    <row r="991" spans="1:13" ht="14.25" customHeight="1" x14ac:dyDescent="0.3">
      <c r="A991" s="48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64"/>
    </row>
    <row r="992" spans="1:13" ht="14.25" customHeight="1" x14ac:dyDescent="0.3">
      <c r="A992" s="48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64"/>
    </row>
    <row r="993" spans="1:13" ht="14.25" customHeight="1" x14ac:dyDescent="0.3">
      <c r="A993" s="48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64"/>
    </row>
    <row r="994" spans="1:13" ht="14.25" customHeight="1" x14ac:dyDescent="0.3">
      <c r="A994" s="48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64"/>
    </row>
    <row r="995" spans="1:13" ht="14.25" customHeight="1" x14ac:dyDescent="0.3">
      <c r="A995" s="48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64"/>
    </row>
    <row r="996" spans="1:13" ht="14.25" customHeight="1" x14ac:dyDescent="0.3">
      <c r="A996" s="48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64"/>
    </row>
    <row r="997" spans="1:13" ht="14.25" customHeight="1" x14ac:dyDescent="0.3">
      <c r="A997" s="48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64"/>
    </row>
    <row r="998" spans="1:13" ht="14.25" customHeight="1" x14ac:dyDescent="0.3">
      <c r="A998" s="48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64"/>
    </row>
    <row r="999" spans="1:13" ht="14.25" customHeight="1" x14ac:dyDescent="0.3">
      <c r="A999" s="48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64"/>
    </row>
    <row r="1000" spans="1:13" ht="14.25" customHeight="1" x14ac:dyDescent="0.3">
      <c r="A1000" s="48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64"/>
    </row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210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64"/>
    </row>
    <row r="2" spans="1:26" ht="14.25" customHeight="1" x14ac:dyDescent="0.3">
      <c r="A2" s="79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64"/>
    </row>
    <row r="3" spans="1:26" ht="14.25" customHeight="1" x14ac:dyDescent="0.3">
      <c r="A3" s="47" t="s">
        <v>201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64"/>
    </row>
    <row r="4" spans="1:26" ht="14.25" customHeight="1" x14ac:dyDescent="0.3">
      <c r="A4" s="48" t="s">
        <v>202</v>
      </c>
      <c r="B4" s="66" t="s">
        <v>208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</row>
    <row r="5" spans="1:26" ht="14.25" customHeight="1" x14ac:dyDescent="0.3">
      <c r="A5" s="48" t="s">
        <v>204</v>
      </c>
      <c r="B5" s="64" t="s">
        <v>209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26" ht="14.25" customHeight="1" x14ac:dyDescent="0.3">
      <c r="A6" s="48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64"/>
    </row>
    <row r="7" spans="1:26" ht="14.25" customHeight="1" x14ac:dyDescent="0.3">
      <c r="A7" s="49" t="s">
        <v>190</v>
      </c>
      <c r="B7" s="50" t="s">
        <v>195</v>
      </c>
      <c r="C7" s="50" t="s">
        <v>26</v>
      </c>
      <c r="D7" s="50" t="s">
        <v>33</v>
      </c>
      <c r="E7" s="50" t="s">
        <v>41</v>
      </c>
      <c r="F7" s="50" t="s">
        <v>46</v>
      </c>
      <c r="G7" s="50" t="s">
        <v>53</v>
      </c>
      <c r="H7" s="50" t="s">
        <v>59</v>
      </c>
      <c r="I7" s="50" t="s">
        <v>65</v>
      </c>
      <c r="J7" s="50" t="s">
        <v>73</v>
      </c>
      <c r="K7" s="50" t="s">
        <v>79</v>
      </c>
      <c r="L7" s="50" t="s">
        <v>84</v>
      </c>
      <c r="M7" s="68" t="s">
        <v>205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4.25" customHeight="1" x14ac:dyDescent="0.3">
      <c r="A8" s="69">
        <v>45957</v>
      </c>
      <c r="B8" s="73">
        <f t="shared" ref="B8:B22" si="0">SUM(C8:L8)</f>
        <v>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9">
        <v>45958</v>
      </c>
      <c r="B9" s="73">
        <f t="shared" si="0"/>
        <v>0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9">
        <v>45959</v>
      </c>
      <c r="B10" s="73">
        <f t="shared" si="0"/>
        <v>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9">
        <v>45960</v>
      </c>
      <c r="B11" s="73">
        <f t="shared" si="0"/>
        <v>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9">
        <v>45961</v>
      </c>
      <c r="B12" s="73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9">
        <v>45962</v>
      </c>
      <c r="B13" s="73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9">
        <v>45963</v>
      </c>
      <c r="B14" s="73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9">
        <v>45964</v>
      </c>
      <c r="B15" s="73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9">
        <v>45965</v>
      </c>
      <c r="B16" s="73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9">
        <v>45966</v>
      </c>
      <c r="B17" s="73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9">
        <v>45967</v>
      </c>
      <c r="B18" s="73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9">
        <v>45968</v>
      </c>
      <c r="B19" s="73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9">
        <v>45969</v>
      </c>
      <c r="B20" s="73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9">
        <v>45970</v>
      </c>
      <c r="B21" s="73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9">
        <v>45971</v>
      </c>
      <c r="B22" s="73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2" t="s">
        <v>196</v>
      </c>
      <c r="B23" s="53">
        <f t="shared" ref="B23:L23" si="1">SUM(B8:B22)</f>
        <v>0</v>
      </c>
      <c r="C23" s="53">
        <f t="shared" si="1"/>
        <v>0</v>
      </c>
      <c r="D23" s="53">
        <f t="shared" si="1"/>
        <v>0</v>
      </c>
      <c r="E23" s="53">
        <f t="shared" si="1"/>
        <v>0</v>
      </c>
      <c r="F23" s="53">
        <f t="shared" si="1"/>
        <v>0</v>
      </c>
      <c r="G23" s="53">
        <f t="shared" si="1"/>
        <v>0</v>
      </c>
      <c r="H23" s="53">
        <f t="shared" si="1"/>
        <v>0</v>
      </c>
      <c r="I23" s="53">
        <f t="shared" si="1"/>
        <v>0</v>
      </c>
      <c r="J23" s="53">
        <f t="shared" si="1"/>
        <v>0</v>
      </c>
      <c r="K23" s="53">
        <f t="shared" si="1"/>
        <v>0</v>
      </c>
      <c r="L23" s="53">
        <f t="shared" si="1"/>
        <v>0</v>
      </c>
      <c r="M23" s="74"/>
    </row>
    <row r="24" spans="1:26" ht="14.25" customHeight="1" x14ac:dyDescent="0.3">
      <c r="A24" s="54" t="s">
        <v>197</v>
      </c>
      <c r="B24" s="55">
        <f t="shared" ref="B24:L24" si="2">B23</f>
        <v>0</v>
      </c>
      <c r="C24" s="55">
        <f t="shared" si="2"/>
        <v>0</v>
      </c>
      <c r="D24" s="55">
        <f t="shared" si="2"/>
        <v>0</v>
      </c>
      <c r="E24" s="55">
        <f t="shared" si="2"/>
        <v>0</v>
      </c>
      <c r="F24" s="55">
        <f t="shared" si="2"/>
        <v>0</v>
      </c>
      <c r="G24" s="55">
        <f t="shared" si="2"/>
        <v>0</v>
      </c>
      <c r="H24" s="55">
        <f t="shared" si="2"/>
        <v>0</v>
      </c>
      <c r="I24" s="55">
        <f t="shared" si="2"/>
        <v>0</v>
      </c>
      <c r="J24" s="55">
        <f t="shared" si="2"/>
        <v>0</v>
      </c>
      <c r="K24" s="55">
        <f t="shared" si="2"/>
        <v>0</v>
      </c>
      <c r="L24" s="55">
        <f t="shared" si="2"/>
        <v>0</v>
      </c>
      <c r="M24" s="57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4.25" customHeight="1" x14ac:dyDescent="0.3">
      <c r="A25" s="48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64"/>
    </row>
    <row r="26" spans="1:26" ht="14.25" customHeight="1" x14ac:dyDescent="0.3">
      <c r="A26" s="58" t="s">
        <v>198</v>
      </c>
      <c r="B26" s="36" t="s">
        <v>195</v>
      </c>
      <c r="C26" s="36" t="s">
        <v>142</v>
      </c>
      <c r="D26" s="36" t="s">
        <v>144</v>
      </c>
      <c r="E26" s="36" t="s">
        <v>147</v>
      </c>
      <c r="F26" s="36" t="s">
        <v>149</v>
      </c>
      <c r="G26" s="36" t="s">
        <v>152</v>
      </c>
      <c r="H26" s="36" t="s">
        <v>154</v>
      </c>
      <c r="I26" s="36" t="s">
        <v>157</v>
      </c>
      <c r="J26" s="36" t="s">
        <v>159</v>
      </c>
      <c r="K26" s="36" t="s">
        <v>161</v>
      </c>
      <c r="L26" s="36" t="s">
        <v>163</v>
      </c>
      <c r="M26" s="75" t="s">
        <v>205</v>
      </c>
    </row>
    <row r="27" spans="1:26" ht="14.25" customHeight="1" x14ac:dyDescent="0.3">
      <c r="A27" s="51">
        <v>45972</v>
      </c>
      <c r="B27" s="73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1">
        <v>45973</v>
      </c>
      <c r="B28" s="73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1">
        <v>45974</v>
      </c>
      <c r="B29" s="73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1">
        <v>45975</v>
      </c>
      <c r="B30" s="73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1">
        <v>45976</v>
      </c>
      <c r="B31" s="73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1">
        <v>45977</v>
      </c>
      <c r="B32" s="73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1">
        <v>45978</v>
      </c>
      <c r="B33" s="73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1">
        <v>45979</v>
      </c>
      <c r="B34" s="73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1">
        <v>45980</v>
      </c>
      <c r="B35" s="73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1">
        <v>45981</v>
      </c>
      <c r="B36" s="73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1">
        <v>45982</v>
      </c>
      <c r="B37" s="73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1">
        <v>45983</v>
      </c>
      <c r="B38" s="73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1">
        <v>45984</v>
      </c>
      <c r="B39" s="73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1">
        <v>45985</v>
      </c>
      <c r="B40" s="73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1">
        <v>45986</v>
      </c>
      <c r="B41" s="73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9" t="s">
        <v>196</v>
      </c>
      <c r="B42" s="60">
        <f t="shared" ref="B42:L42" si="4">SUM(B27:B41)</f>
        <v>0</v>
      </c>
      <c r="C42" s="60">
        <f t="shared" si="4"/>
        <v>0</v>
      </c>
      <c r="D42" s="60">
        <f t="shared" si="4"/>
        <v>0</v>
      </c>
      <c r="E42" s="60">
        <f t="shared" si="4"/>
        <v>0</v>
      </c>
      <c r="F42" s="60">
        <f t="shared" si="4"/>
        <v>0</v>
      </c>
      <c r="G42" s="60">
        <f t="shared" si="4"/>
        <v>0</v>
      </c>
      <c r="H42" s="60">
        <f t="shared" si="4"/>
        <v>0</v>
      </c>
      <c r="I42" s="60">
        <f t="shared" si="4"/>
        <v>0</v>
      </c>
      <c r="J42" s="60">
        <f t="shared" si="4"/>
        <v>0</v>
      </c>
      <c r="K42" s="60">
        <f t="shared" si="4"/>
        <v>0</v>
      </c>
      <c r="L42" s="60">
        <f t="shared" si="4"/>
        <v>0</v>
      </c>
      <c r="M42" s="76"/>
    </row>
    <row r="43" spans="1:26" ht="14.25" customHeight="1" x14ac:dyDescent="0.3">
      <c r="A43" s="54" t="s">
        <v>197</v>
      </c>
      <c r="B43" s="55">
        <f>B24+B42</f>
        <v>0</v>
      </c>
      <c r="C43" s="55">
        <f t="shared" ref="C43:L43" si="5">SUM(C24,C42)</f>
        <v>0</v>
      </c>
      <c r="D43" s="55">
        <f t="shared" si="5"/>
        <v>0</v>
      </c>
      <c r="E43" s="55">
        <f t="shared" si="5"/>
        <v>0</v>
      </c>
      <c r="F43" s="55">
        <f t="shared" si="5"/>
        <v>0</v>
      </c>
      <c r="G43" s="55">
        <f t="shared" si="5"/>
        <v>0</v>
      </c>
      <c r="H43" s="55">
        <f t="shared" si="5"/>
        <v>0</v>
      </c>
      <c r="I43" s="55">
        <f t="shared" si="5"/>
        <v>0</v>
      </c>
      <c r="J43" s="55">
        <f t="shared" si="5"/>
        <v>0</v>
      </c>
      <c r="K43" s="55">
        <f t="shared" si="5"/>
        <v>0</v>
      </c>
      <c r="L43" s="55">
        <f t="shared" si="5"/>
        <v>0</v>
      </c>
      <c r="M43" s="57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4.25" customHeight="1" x14ac:dyDescent="0.3">
      <c r="A44" s="48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64"/>
    </row>
    <row r="45" spans="1:26" ht="14.25" customHeight="1" x14ac:dyDescent="0.3">
      <c r="A45" s="61" t="s">
        <v>199</v>
      </c>
      <c r="B45" s="44" t="s">
        <v>195</v>
      </c>
      <c r="C45" s="44" t="s">
        <v>167</v>
      </c>
      <c r="D45" s="44" t="s">
        <v>169</v>
      </c>
      <c r="E45" s="44" t="s">
        <v>171</v>
      </c>
      <c r="F45" s="44" t="s">
        <v>173</v>
      </c>
      <c r="G45" s="44" t="s">
        <v>175</v>
      </c>
      <c r="H45" s="44" t="s">
        <v>177</v>
      </c>
      <c r="I45" s="44" t="s">
        <v>179</v>
      </c>
      <c r="J45" s="44" t="s">
        <v>181</v>
      </c>
      <c r="K45" s="44" t="s">
        <v>183</v>
      </c>
      <c r="L45" s="44" t="s">
        <v>185</v>
      </c>
      <c r="M45" s="77" t="s">
        <v>205</v>
      </c>
    </row>
    <row r="46" spans="1:26" ht="14.25" customHeight="1" x14ac:dyDescent="0.3">
      <c r="A46" s="51">
        <v>45987</v>
      </c>
      <c r="B46" s="73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1">
        <v>45988</v>
      </c>
      <c r="B47" s="73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1">
        <v>45989</v>
      </c>
      <c r="B48" s="73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1">
        <v>45990</v>
      </c>
      <c r="B49" s="73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1">
        <v>45991</v>
      </c>
      <c r="B50" s="73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1">
        <v>45992</v>
      </c>
      <c r="B51" s="73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1">
        <v>45993</v>
      </c>
      <c r="B52" s="73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1">
        <v>45994</v>
      </c>
      <c r="B53" s="73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1">
        <v>45995</v>
      </c>
      <c r="B54" s="73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1">
        <v>45996</v>
      </c>
      <c r="B55" s="73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1">
        <v>45997</v>
      </c>
      <c r="B56" s="73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1">
        <v>45998</v>
      </c>
      <c r="B57" s="73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1">
        <v>45999</v>
      </c>
      <c r="B58" s="73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1">
        <v>46000</v>
      </c>
      <c r="B59" s="73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1">
        <v>46001</v>
      </c>
      <c r="B60" s="73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2" t="s">
        <v>196</v>
      </c>
      <c r="B61" s="63">
        <f t="shared" ref="B61:L61" si="7">SUM(B46:B60)</f>
        <v>0</v>
      </c>
      <c r="C61" s="63">
        <f t="shared" si="7"/>
        <v>0</v>
      </c>
      <c r="D61" s="63">
        <f t="shared" si="7"/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8"/>
    </row>
    <row r="62" spans="1:26" ht="14.25" customHeight="1" x14ac:dyDescent="0.3">
      <c r="A62" s="54" t="s">
        <v>197</v>
      </c>
      <c r="B62" s="55">
        <f>B43+B61</f>
        <v>0</v>
      </c>
      <c r="C62" s="55">
        <f t="shared" ref="C62:L62" si="8">SUM(C43,C61)</f>
        <v>0</v>
      </c>
      <c r="D62" s="55">
        <f t="shared" si="8"/>
        <v>0</v>
      </c>
      <c r="E62" s="55">
        <f t="shared" si="8"/>
        <v>0</v>
      </c>
      <c r="F62" s="55">
        <f t="shared" si="8"/>
        <v>0</v>
      </c>
      <c r="G62" s="55">
        <f t="shared" si="8"/>
        <v>0</v>
      </c>
      <c r="H62" s="55">
        <f t="shared" si="8"/>
        <v>0</v>
      </c>
      <c r="I62" s="55">
        <f t="shared" si="8"/>
        <v>0</v>
      </c>
      <c r="J62" s="55">
        <f t="shared" si="8"/>
        <v>0</v>
      </c>
      <c r="K62" s="55">
        <f t="shared" si="8"/>
        <v>0</v>
      </c>
      <c r="L62" s="55">
        <f t="shared" si="8"/>
        <v>0</v>
      </c>
      <c r="M62" s="57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4.25" customHeight="1" x14ac:dyDescent="0.3">
      <c r="A63" s="48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64"/>
    </row>
    <row r="64" spans="1:26" ht="14.25" customHeight="1" x14ac:dyDescent="0.3">
      <c r="A64" s="48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64"/>
    </row>
    <row r="65" spans="1:13" ht="14.25" customHeight="1" x14ac:dyDescent="0.3">
      <c r="A65" s="48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64"/>
    </row>
    <row r="66" spans="1:13" ht="14.25" customHeight="1" x14ac:dyDescent="0.3">
      <c r="A66" s="48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64"/>
    </row>
    <row r="67" spans="1:13" ht="14.25" customHeight="1" x14ac:dyDescent="0.3">
      <c r="A67" s="48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64"/>
    </row>
    <row r="68" spans="1:13" ht="14.25" customHeight="1" x14ac:dyDescent="0.3">
      <c r="A68" s="48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64"/>
    </row>
    <row r="69" spans="1:13" ht="14.25" customHeight="1" x14ac:dyDescent="0.3">
      <c r="A69" s="48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64"/>
    </row>
    <row r="70" spans="1:13" ht="14.25" customHeight="1" x14ac:dyDescent="0.3">
      <c r="A70" s="48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64"/>
    </row>
    <row r="71" spans="1:13" ht="14.25" customHeight="1" x14ac:dyDescent="0.3">
      <c r="A71" s="48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64"/>
    </row>
    <row r="72" spans="1:13" ht="14.25" customHeight="1" x14ac:dyDescent="0.3">
      <c r="A72" s="48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64"/>
    </row>
    <row r="73" spans="1:13" ht="14.25" customHeight="1" x14ac:dyDescent="0.3">
      <c r="A73" s="48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64"/>
    </row>
    <row r="74" spans="1:13" ht="14.25" customHeight="1" x14ac:dyDescent="0.3">
      <c r="A74" s="48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64"/>
    </row>
    <row r="75" spans="1:13" ht="14.25" customHeight="1" x14ac:dyDescent="0.3">
      <c r="A75" s="48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64"/>
    </row>
    <row r="76" spans="1:13" ht="14.25" customHeight="1" x14ac:dyDescent="0.3">
      <c r="A76" s="48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64"/>
    </row>
    <row r="77" spans="1:13" ht="14.25" customHeight="1" x14ac:dyDescent="0.3">
      <c r="A77" s="48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64"/>
    </row>
    <row r="78" spans="1:13" ht="14.25" customHeight="1" x14ac:dyDescent="0.3">
      <c r="A78" s="48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64"/>
    </row>
    <row r="79" spans="1:13" ht="14.25" customHeight="1" x14ac:dyDescent="0.3">
      <c r="A79" s="48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64"/>
    </row>
    <row r="80" spans="1:13" ht="14.25" customHeight="1" x14ac:dyDescent="0.3">
      <c r="A80" s="48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64"/>
    </row>
    <row r="81" spans="1:13" ht="14.25" customHeight="1" x14ac:dyDescent="0.3">
      <c r="A81" s="48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64"/>
    </row>
    <row r="82" spans="1:13" ht="14.25" customHeight="1" x14ac:dyDescent="0.3">
      <c r="A82" s="48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64"/>
    </row>
    <row r="83" spans="1:13" ht="14.25" customHeight="1" x14ac:dyDescent="0.3">
      <c r="A83" s="48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64"/>
    </row>
    <row r="84" spans="1:13" ht="14.25" customHeight="1" x14ac:dyDescent="0.3">
      <c r="A84" s="48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64"/>
    </row>
    <row r="85" spans="1:13" ht="14.25" customHeight="1" x14ac:dyDescent="0.3">
      <c r="A85" s="48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64"/>
    </row>
    <row r="86" spans="1:13" ht="14.25" customHeight="1" x14ac:dyDescent="0.3">
      <c r="A86" s="48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64"/>
    </row>
    <row r="87" spans="1:13" ht="14.25" customHeight="1" x14ac:dyDescent="0.3">
      <c r="A87" s="48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64"/>
    </row>
    <row r="88" spans="1:13" ht="14.25" customHeight="1" x14ac:dyDescent="0.3">
      <c r="A88" s="48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64"/>
    </row>
    <row r="89" spans="1:13" ht="14.25" customHeight="1" x14ac:dyDescent="0.3">
      <c r="A89" s="48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64"/>
    </row>
    <row r="90" spans="1:13" ht="14.25" customHeight="1" x14ac:dyDescent="0.3">
      <c r="A90" s="48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64"/>
    </row>
    <row r="91" spans="1:13" ht="14.25" customHeight="1" x14ac:dyDescent="0.3">
      <c r="A91" s="48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64"/>
    </row>
    <row r="92" spans="1:13" ht="14.25" customHeight="1" x14ac:dyDescent="0.3">
      <c r="A92" s="48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64"/>
    </row>
    <row r="93" spans="1:13" ht="14.25" customHeight="1" x14ac:dyDescent="0.3">
      <c r="A93" s="48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64"/>
    </row>
    <row r="94" spans="1:13" ht="14.25" customHeight="1" x14ac:dyDescent="0.3">
      <c r="A94" s="48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64"/>
    </row>
    <row r="95" spans="1:13" ht="14.25" customHeight="1" x14ac:dyDescent="0.3">
      <c r="A95" s="48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64"/>
    </row>
    <row r="96" spans="1:13" ht="14.25" customHeight="1" x14ac:dyDescent="0.3">
      <c r="A96" s="48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64"/>
    </row>
    <row r="97" spans="1:13" ht="14.25" customHeight="1" x14ac:dyDescent="0.3">
      <c r="A97" s="48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64"/>
    </row>
    <row r="98" spans="1:13" ht="14.25" customHeight="1" x14ac:dyDescent="0.3">
      <c r="A98" s="48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64"/>
    </row>
    <row r="99" spans="1:13" ht="14.25" customHeight="1" x14ac:dyDescent="0.3">
      <c r="A99" s="48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64"/>
    </row>
    <row r="100" spans="1:13" ht="14.25" customHeight="1" x14ac:dyDescent="0.3">
      <c r="A100" s="48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64"/>
    </row>
    <row r="101" spans="1:13" ht="14.25" customHeight="1" x14ac:dyDescent="0.3">
      <c r="A101" s="48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64"/>
    </row>
    <row r="102" spans="1:13" ht="14.25" customHeight="1" x14ac:dyDescent="0.3">
      <c r="A102" s="48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64"/>
    </row>
    <row r="103" spans="1:13" ht="14.25" customHeight="1" x14ac:dyDescent="0.3">
      <c r="A103" s="48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64"/>
    </row>
    <row r="104" spans="1:13" ht="14.25" customHeight="1" x14ac:dyDescent="0.3">
      <c r="A104" s="48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64"/>
    </row>
    <row r="105" spans="1:13" ht="14.25" customHeight="1" x14ac:dyDescent="0.3">
      <c r="A105" s="48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64"/>
    </row>
    <row r="106" spans="1:13" ht="14.25" customHeight="1" x14ac:dyDescent="0.3">
      <c r="A106" s="48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64"/>
    </row>
    <row r="107" spans="1:13" ht="14.25" customHeight="1" x14ac:dyDescent="0.3">
      <c r="A107" s="48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64"/>
    </row>
    <row r="108" spans="1:13" ht="14.25" customHeight="1" x14ac:dyDescent="0.3">
      <c r="A108" s="48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64"/>
    </row>
    <row r="109" spans="1:13" ht="14.25" customHeight="1" x14ac:dyDescent="0.3">
      <c r="A109" s="48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64"/>
    </row>
    <row r="110" spans="1:13" ht="14.25" customHeight="1" x14ac:dyDescent="0.3">
      <c r="A110" s="48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64"/>
    </row>
    <row r="111" spans="1:13" ht="14.25" customHeight="1" x14ac:dyDescent="0.3">
      <c r="A111" s="48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64"/>
    </row>
    <row r="112" spans="1:13" ht="14.25" customHeight="1" x14ac:dyDescent="0.3">
      <c r="A112" s="48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64"/>
    </row>
    <row r="113" spans="1:13" ht="14.25" customHeight="1" x14ac:dyDescent="0.3">
      <c r="A113" s="48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64"/>
    </row>
    <row r="114" spans="1:13" ht="14.25" customHeight="1" x14ac:dyDescent="0.3">
      <c r="A114" s="48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64"/>
    </row>
    <row r="115" spans="1:13" ht="14.25" customHeight="1" x14ac:dyDescent="0.3">
      <c r="A115" s="48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64"/>
    </row>
    <row r="116" spans="1:13" ht="14.25" customHeight="1" x14ac:dyDescent="0.3">
      <c r="A116" s="48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64"/>
    </row>
    <row r="117" spans="1:13" ht="14.25" customHeight="1" x14ac:dyDescent="0.3">
      <c r="A117" s="48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64"/>
    </row>
    <row r="118" spans="1:13" ht="14.25" customHeight="1" x14ac:dyDescent="0.3">
      <c r="A118" s="48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64"/>
    </row>
    <row r="119" spans="1:13" ht="14.25" customHeight="1" x14ac:dyDescent="0.3">
      <c r="A119" s="48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64"/>
    </row>
    <row r="120" spans="1:13" ht="14.25" customHeight="1" x14ac:dyDescent="0.3">
      <c r="A120" s="48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64"/>
    </row>
    <row r="121" spans="1:13" ht="14.25" customHeight="1" x14ac:dyDescent="0.3">
      <c r="A121" s="48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64"/>
    </row>
    <row r="122" spans="1:13" ht="14.25" customHeight="1" x14ac:dyDescent="0.3">
      <c r="A122" s="48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64"/>
    </row>
    <row r="123" spans="1:13" ht="14.25" customHeight="1" x14ac:dyDescent="0.3">
      <c r="A123" s="48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64"/>
    </row>
    <row r="124" spans="1:13" ht="14.25" customHeight="1" x14ac:dyDescent="0.3">
      <c r="A124" s="48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64"/>
    </row>
    <row r="125" spans="1:13" ht="14.25" customHeight="1" x14ac:dyDescent="0.3">
      <c r="A125" s="48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64"/>
    </row>
    <row r="126" spans="1:13" ht="14.25" customHeight="1" x14ac:dyDescent="0.3">
      <c r="A126" s="48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64"/>
    </row>
    <row r="127" spans="1:13" ht="14.25" customHeight="1" x14ac:dyDescent="0.3">
      <c r="A127" s="48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64"/>
    </row>
    <row r="128" spans="1:13" ht="14.25" customHeight="1" x14ac:dyDescent="0.3">
      <c r="A128" s="48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64"/>
    </row>
    <row r="129" spans="1:13" ht="14.25" customHeight="1" x14ac:dyDescent="0.3">
      <c r="A129" s="48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64"/>
    </row>
    <row r="130" spans="1:13" ht="14.25" customHeight="1" x14ac:dyDescent="0.3">
      <c r="A130" s="48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64"/>
    </row>
    <row r="131" spans="1:13" ht="14.25" customHeight="1" x14ac:dyDescent="0.3">
      <c r="A131" s="48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64"/>
    </row>
    <row r="132" spans="1:13" ht="14.25" customHeight="1" x14ac:dyDescent="0.3">
      <c r="A132" s="48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64"/>
    </row>
    <row r="133" spans="1:13" ht="14.25" customHeight="1" x14ac:dyDescent="0.3">
      <c r="A133" s="48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64"/>
    </row>
    <row r="134" spans="1:13" ht="14.25" customHeight="1" x14ac:dyDescent="0.3">
      <c r="A134" s="48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64"/>
    </row>
    <row r="135" spans="1:13" ht="14.25" customHeight="1" x14ac:dyDescent="0.3">
      <c r="A135" s="48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64"/>
    </row>
    <row r="136" spans="1:13" ht="14.25" customHeight="1" x14ac:dyDescent="0.3">
      <c r="A136" s="48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64"/>
    </row>
    <row r="137" spans="1:13" ht="14.25" customHeight="1" x14ac:dyDescent="0.3">
      <c r="A137" s="48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64"/>
    </row>
    <row r="138" spans="1:13" ht="14.25" customHeight="1" x14ac:dyDescent="0.3">
      <c r="A138" s="48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64"/>
    </row>
    <row r="139" spans="1:13" ht="14.25" customHeight="1" x14ac:dyDescent="0.3">
      <c r="A139" s="48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64"/>
    </row>
    <row r="140" spans="1:13" ht="14.25" customHeight="1" x14ac:dyDescent="0.3">
      <c r="A140" s="48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64"/>
    </row>
    <row r="141" spans="1:13" ht="14.25" customHeight="1" x14ac:dyDescent="0.3">
      <c r="A141" s="48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64"/>
    </row>
    <row r="142" spans="1:13" ht="14.25" customHeight="1" x14ac:dyDescent="0.3">
      <c r="A142" s="48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64"/>
    </row>
    <row r="143" spans="1:13" ht="14.25" customHeight="1" x14ac:dyDescent="0.3">
      <c r="A143" s="48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64"/>
    </row>
    <row r="144" spans="1:13" ht="14.25" customHeight="1" x14ac:dyDescent="0.3">
      <c r="A144" s="48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64"/>
    </row>
    <row r="145" spans="1:13" ht="14.25" customHeight="1" x14ac:dyDescent="0.3">
      <c r="A145" s="48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64"/>
    </row>
    <row r="146" spans="1:13" ht="14.25" customHeight="1" x14ac:dyDescent="0.3">
      <c r="A146" s="48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64"/>
    </row>
    <row r="147" spans="1:13" ht="14.25" customHeight="1" x14ac:dyDescent="0.3">
      <c r="A147" s="48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64"/>
    </row>
    <row r="148" spans="1:13" ht="14.25" customHeight="1" x14ac:dyDescent="0.3">
      <c r="A148" s="48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64"/>
    </row>
    <row r="149" spans="1:13" ht="14.25" customHeight="1" x14ac:dyDescent="0.3">
      <c r="A149" s="48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64"/>
    </row>
    <row r="150" spans="1:13" ht="14.25" customHeight="1" x14ac:dyDescent="0.3">
      <c r="A150" s="48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64"/>
    </row>
    <row r="151" spans="1:13" ht="14.25" customHeight="1" x14ac:dyDescent="0.3">
      <c r="A151" s="48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64"/>
    </row>
    <row r="152" spans="1:13" ht="14.25" customHeight="1" x14ac:dyDescent="0.3">
      <c r="A152" s="48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64"/>
    </row>
    <row r="153" spans="1:13" ht="14.25" customHeight="1" x14ac:dyDescent="0.3">
      <c r="A153" s="48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64"/>
    </row>
    <row r="154" spans="1:13" ht="14.25" customHeight="1" x14ac:dyDescent="0.3">
      <c r="A154" s="48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64"/>
    </row>
    <row r="155" spans="1:13" ht="14.25" customHeight="1" x14ac:dyDescent="0.3">
      <c r="A155" s="48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64"/>
    </row>
    <row r="156" spans="1:13" ht="14.25" customHeight="1" x14ac:dyDescent="0.3">
      <c r="A156" s="48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64"/>
    </row>
    <row r="157" spans="1:13" ht="14.25" customHeight="1" x14ac:dyDescent="0.3">
      <c r="A157" s="48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64"/>
    </row>
    <row r="158" spans="1:13" ht="14.25" customHeight="1" x14ac:dyDescent="0.3">
      <c r="A158" s="48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64"/>
    </row>
    <row r="159" spans="1:13" ht="14.25" customHeight="1" x14ac:dyDescent="0.3">
      <c r="A159" s="48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64"/>
    </row>
    <row r="160" spans="1:13" ht="14.25" customHeight="1" x14ac:dyDescent="0.3">
      <c r="A160" s="48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64"/>
    </row>
    <row r="161" spans="1:13" ht="14.25" customHeight="1" x14ac:dyDescent="0.3">
      <c r="A161" s="48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64"/>
    </row>
    <row r="162" spans="1:13" ht="14.25" customHeight="1" x14ac:dyDescent="0.3">
      <c r="A162" s="48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64"/>
    </row>
    <row r="163" spans="1:13" ht="14.25" customHeight="1" x14ac:dyDescent="0.3">
      <c r="A163" s="48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64"/>
    </row>
    <row r="164" spans="1:13" ht="14.25" customHeight="1" x14ac:dyDescent="0.3">
      <c r="A164" s="48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64"/>
    </row>
    <row r="165" spans="1:13" ht="14.25" customHeight="1" x14ac:dyDescent="0.3">
      <c r="A165" s="48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64"/>
    </row>
    <row r="166" spans="1:13" ht="14.25" customHeight="1" x14ac:dyDescent="0.3">
      <c r="A166" s="48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64"/>
    </row>
    <row r="167" spans="1:13" ht="14.25" customHeight="1" x14ac:dyDescent="0.3">
      <c r="A167" s="48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64"/>
    </row>
    <row r="168" spans="1:13" ht="14.25" customHeight="1" x14ac:dyDescent="0.3">
      <c r="A168" s="48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64"/>
    </row>
    <row r="169" spans="1:13" ht="14.25" customHeight="1" x14ac:dyDescent="0.3">
      <c r="A169" s="48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64"/>
    </row>
    <row r="170" spans="1:13" ht="14.25" customHeight="1" x14ac:dyDescent="0.3">
      <c r="A170" s="48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64"/>
    </row>
    <row r="171" spans="1:13" ht="14.25" customHeight="1" x14ac:dyDescent="0.3">
      <c r="A171" s="48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64"/>
    </row>
    <row r="172" spans="1:13" ht="14.25" customHeight="1" x14ac:dyDescent="0.3">
      <c r="A172" s="48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64"/>
    </row>
    <row r="173" spans="1:13" ht="14.25" customHeight="1" x14ac:dyDescent="0.3">
      <c r="A173" s="48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64"/>
    </row>
    <row r="174" spans="1:13" ht="14.25" customHeight="1" x14ac:dyDescent="0.3">
      <c r="A174" s="48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64"/>
    </row>
    <row r="175" spans="1:13" ht="14.25" customHeight="1" x14ac:dyDescent="0.3">
      <c r="A175" s="48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64"/>
    </row>
    <row r="176" spans="1:13" ht="14.25" customHeight="1" x14ac:dyDescent="0.3">
      <c r="A176" s="48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64"/>
    </row>
    <row r="177" spans="1:13" ht="14.25" customHeight="1" x14ac:dyDescent="0.3">
      <c r="A177" s="48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64"/>
    </row>
    <row r="178" spans="1:13" ht="14.25" customHeight="1" x14ac:dyDescent="0.3">
      <c r="A178" s="48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64"/>
    </row>
    <row r="179" spans="1:13" ht="14.25" customHeight="1" x14ac:dyDescent="0.3">
      <c r="A179" s="48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64"/>
    </row>
    <row r="180" spans="1:13" ht="14.25" customHeight="1" x14ac:dyDescent="0.3">
      <c r="A180" s="48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64"/>
    </row>
    <row r="181" spans="1:13" ht="14.25" customHeight="1" x14ac:dyDescent="0.3">
      <c r="A181" s="48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64"/>
    </row>
    <row r="182" spans="1:13" ht="14.25" customHeight="1" x14ac:dyDescent="0.3">
      <c r="A182" s="48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64"/>
    </row>
    <row r="183" spans="1:13" ht="14.25" customHeight="1" x14ac:dyDescent="0.3">
      <c r="A183" s="48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64"/>
    </row>
    <row r="184" spans="1:13" ht="14.25" customHeight="1" x14ac:dyDescent="0.3">
      <c r="A184" s="48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64"/>
    </row>
    <row r="185" spans="1:13" ht="14.25" customHeight="1" x14ac:dyDescent="0.3">
      <c r="A185" s="48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64"/>
    </row>
    <row r="186" spans="1:13" ht="14.25" customHeight="1" x14ac:dyDescent="0.3">
      <c r="A186" s="48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64"/>
    </row>
    <row r="187" spans="1:13" ht="14.25" customHeight="1" x14ac:dyDescent="0.3">
      <c r="A187" s="48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64"/>
    </row>
    <row r="188" spans="1:13" ht="14.25" customHeight="1" x14ac:dyDescent="0.3">
      <c r="A188" s="48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64"/>
    </row>
    <row r="189" spans="1:13" ht="14.25" customHeight="1" x14ac:dyDescent="0.3">
      <c r="A189" s="48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64"/>
    </row>
    <row r="190" spans="1:13" ht="14.25" customHeight="1" x14ac:dyDescent="0.3">
      <c r="A190" s="48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64"/>
    </row>
    <row r="191" spans="1:13" ht="14.25" customHeight="1" x14ac:dyDescent="0.3">
      <c r="A191" s="48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64"/>
    </row>
    <row r="192" spans="1:13" ht="14.25" customHeight="1" x14ac:dyDescent="0.3">
      <c r="A192" s="48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64"/>
    </row>
    <row r="193" spans="1:13" ht="14.25" customHeight="1" x14ac:dyDescent="0.3">
      <c r="A193" s="48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64"/>
    </row>
    <row r="194" spans="1:13" ht="14.25" customHeight="1" x14ac:dyDescent="0.3">
      <c r="A194" s="48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64"/>
    </row>
    <row r="195" spans="1:13" ht="14.25" customHeight="1" x14ac:dyDescent="0.3">
      <c r="A195" s="48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64"/>
    </row>
    <row r="196" spans="1:13" ht="14.25" customHeight="1" x14ac:dyDescent="0.3">
      <c r="A196" s="48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64"/>
    </row>
    <row r="197" spans="1:13" ht="14.25" customHeight="1" x14ac:dyDescent="0.3">
      <c r="A197" s="48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64"/>
    </row>
    <row r="198" spans="1:13" ht="14.25" customHeight="1" x14ac:dyDescent="0.3">
      <c r="A198" s="48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64"/>
    </row>
    <row r="199" spans="1:13" ht="14.25" customHeight="1" x14ac:dyDescent="0.3">
      <c r="A199" s="48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64"/>
    </row>
    <row r="200" spans="1:13" ht="14.25" customHeight="1" x14ac:dyDescent="0.3">
      <c r="A200" s="48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64"/>
    </row>
    <row r="201" spans="1:13" ht="14.25" customHeight="1" x14ac:dyDescent="0.3">
      <c r="A201" s="48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64"/>
    </row>
    <row r="202" spans="1:13" ht="14.25" customHeight="1" x14ac:dyDescent="0.3">
      <c r="A202" s="48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64"/>
    </row>
    <row r="203" spans="1:13" ht="14.25" customHeight="1" x14ac:dyDescent="0.3">
      <c r="A203" s="48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64"/>
    </row>
    <row r="204" spans="1:13" ht="14.25" customHeight="1" x14ac:dyDescent="0.3">
      <c r="A204" s="48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64"/>
    </row>
    <row r="205" spans="1:13" ht="14.25" customHeight="1" x14ac:dyDescent="0.3">
      <c r="A205" s="48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64"/>
    </row>
    <row r="206" spans="1:13" ht="14.25" customHeight="1" x14ac:dyDescent="0.3">
      <c r="A206" s="48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64"/>
    </row>
    <row r="207" spans="1:13" ht="14.25" customHeight="1" x14ac:dyDescent="0.3">
      <c r="A207" s="48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64"/>
    </row>
    <row r="208" spans="1:13" ht="14.25" customHeight="1" x14ac:dyDescent="0.3">
      <c r="A208" s="48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64"/>
    </row>
    <row r="209" spans="1:13" ht="14.25" customHeight="1" x14ac:dyDescent="0.3">
      <c r="A209" s="48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64"/>
    </row>
    <row r="210" spans="1:13" ht="14.25" customHeight="1" x14ac:dyDescent="0.3">
      <c r="A210" s="48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64"/>
    </row>
    <row r="211" spans="1:13" ht="14.25" customHeight="1" x14ac:dyDescent="0.3">
      <c r="A211" s="48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64"/>
    </row>
    <row r="212" spans="1:13" ht="14.25" customHeight="1" x14ac:dyDescent="0.3">
      <c r="A212" s="48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64"/>
    </row>
    <row r="213" spans="1:13" ht="14.25" customHeight="1" x14ac:dyDescent="0.3">
      <c r="A213" s="48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64"/>
    </row>
    <row r="214" spans="1:13" ht="14.25" customHeight="1" x14ac:dyDescent="0.3">
      <c r="A214" s="48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64"/>
    </row>
    <row r="215" spans="1:13" ht="14.25" customHeight="1" x14ac:dyDescent="0.3">
      <c r="A215" s="48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64"/>
    </row>
    <row r="216" spans="1:13" ht="14.25" customHeight="1" x14ac:dyDescent="0.3">
      <c r="A216" s="48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64"/>
    </row>
    <row r="217" spans="1:13" ht="14.25" customHeight="1" x14ac:dyDescent="0.3">
      <c r="A217" s="48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64"/>
    </row>
    <row r="218" spans="1:13" ht="14.25" customHeight="1" x14ac:dyDescent="0.3">
      <c r="A218" s="48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64"/>
    </row>
    <row r="219" spans="1:13" ht="14.25" customHeight="1" x14ac:dyDescent="0.3">
      <c r="A219" s="48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64"/>
    </row>
    <row r="220" spans="1:13" ht="14.25" customHeight="1" x14ac:dyDescent="0.3">
      <c r="A220" s="48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64"/>
    </row>
    <row r="221" spans="1:13" ht="14.25" customHeight="1" x14ac:dyDescent="0.3">
      <c r="A221" s="48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64"/>
    </row>
    <row r="222" spans="1:13" ht="14.25" customHeight="1" x14ac:dyDescent="0.3">
      <c r="A222" s="48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64"/>
    </row>
    <row r="223" spans="1:13" ht="14.25" customHeight="1" x14ac:dyDescent="0.3">
      <c r="A223" s="48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64"/>
    </row>
    <row r="224" spans="1:13" ht="14.25" customHeight="1" x14ac:dyDescent="0.3">
      <c r="A224" s="48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64"/>
    </row>
    <row r="225" spans="1:13" ht="14.25" customHeight="1" x14ac:dyDescent="0.3">
      <c r="A225" s="48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64"/>
    </row>
    <row r="226" spans="1:13" ht="14.25" customHeight="1" x14ac:dyDescent="0.3">
      <c r="A226" s="48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64"/>
    </row>
    <row r="227" spans="1:13" ht="14.25" customHeight="1" x14ac:dyDescent="0.3">
      <c r="A227" s="48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64"/>
    </row>
    <row r="228" spans="1:13" ht="14.25" customHeight="1" x14ac:dyDescent="0.3">
      <c r="A228" s="48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64"/>
    </row>
    <row r="229" spans="1:13" ht="14.25" customHeight="1" x14ac:dyDescent="0.3">
      <c r="A229" s="48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64"/>
    </row>
    <row r="230" spans="1:13" ht="14.25" customHeight="1" x14ac:dyDescent="0.3">
      <c r="A230" s="48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64"/>
    </row>
    <row r="231" spans="1:13" ht="14.25" customHeight="1" x14ac:dyDescent="0.3">
      <c r="A231" s="48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64"/>
    </row>
    <row r="232" spans="1:13" ht="14.25" customHeight="1" x14ac:dyDescent="0.3">
      <c r="A232" s="48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64"/>
    </row>
    <row r="233" spans="1:13" ht="14.25" customHeight="1" x14ac:dyDescent="0.3">
      <c r="A233" s="48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64"/>
    </row>
    <row r="234" spans="1:13" ht="14.25" customHeight="1" x14ac:dyDescent="0.3">
      <c r="A234" s="48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64"/>
    </row>
    <row r="235" spans="1:13" ht="14.25" customHeight="1" x14ac:dyDescent="0.3">
      <c r="A235" s="48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64"/>
    </row>
    <row r="236" spans="1:13" ht="14.25" customHeight="1" x14ac:dyDescent="0.3">
      <c r="A236" s="48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64"/>
    </row>
    <row r="237" spans="1:13" ht="14.25" customHeight="1" x14ac:dyDescent="0.3">
      <c r="A237" s="48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64"/>
    </row>
    <row r="238" spans="1:13" ht="14.25" customHeight="1" x14ac:dyDescent="0.3">
      <c r="A238" s="48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64"/>
    </row>
    <row r="239" spans="1:13" ht="14.25" customHeight="1" x14ac:dyDescent="0.3">
      <c r="A239" s="48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64"/>
    </row>
    <row r="240" spans="1:13" ht="14.25" customHeight="1" x14ac:dyDescent="0.3">
      <c r="A240" s="48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64"/>
    </row>
    <row r="241" spans="1:13" ht="14.25" customHeight="1" x14ac:dyDescent="0.3">
      <c r="A241" s="48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64"/>
    </row>
    <row r="242" spans="1:13" ht="14.25" customHeight="1" x14ac:dyDescent="0.3">
      <c r="A242" s="48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64"/>
    </row>
    <row r="243" spans="1:13" ht="14.25" customHeight="1" x14ac:dyDescent="0.3">
      <c r="A243" s="48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64"/>
    </row>
    <row r="244" spans="1:13" ht="14.25" customHeight="1" x14ac:dyDescent="0.3">
      <c r="A244" s="48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64"/>
    </row>
    <row r="245" spans="1:13" ht="14.25" customHeight="1" x14ac:dyDescent="0.3">
      <c r="A245" s="48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64"/>
    </row>
    <row r="246" spans="1:13" ht="14.25" customHeight="1" x14ac:dyDescent="0.3">
      <c r="A246" s="48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64"/>
    </row>
    <row r="247" spans="1:13" ht="14.25" customHeight="1" x14ac:dyDescent="0.3">
      <c r="A247" s="48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64"/>
    </row>
    <row r="248" spans="1:13" ht="14.25" customHeight="1" x14ac:dyDescent="0.3">
      <c r="A248" s="48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64"/>
    </row>
    <row r="249" spans="1:13" ht="14.25" customHeight="1" x14ac:dyDescent="0.3">
      <c r="A249" s="48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64"/>
    </row>
    <row r="250" spans="1:13" ht="14.25" customHeight="1" x14ac:dyDescent="0.3">
      <c r="A250" s="48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64"/>
    </row>
    <row r="251" spans="1:13" ht="14.25" customHeight="1" x14ac:dyDescent="0.3">
      <c r="A251" s="48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64"/>
    </row>
    <row r="252" spans="1:13" ht="14.25" customHeight="1" x14ac:dyDescent="0.3">
      <c r="A252" s="48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64"/>
    </row>
    <row r="253" spans="1:13" ht="14.25" customHeight="1" x14ac:dyDescent="0.3">
      <c r="A253" s="48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64"/>
    </row>
    <row r="254" spans="1:13" ht="14.25" customHeight="1" x14ac:dyDescent="0.3">
      <c r="A254" s="48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64"/>
    </row>
    <row r="255" spans="1:13" ht="14.25" customHeight="1" x14ac:dyDescent="0.3">
      <c r="A255" s="48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64"/>
    </row>
    <row r="256" spans="1:13" ht="14.25" customHeight="1" x14ac:dyDescent="0.3">
      <c r="A256" s="48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64"/>
    </row>
    <row r="257" spans="1:13" ht="14.25" customHeight="1" x14ac:dyDescent="0.3">
      <c r="A257" s="48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64"/>
    </row>
    <row r="258" spans="1:13" ht="14.25" customHeight="1" x14ac:dyDescent="0.3">
      <c r="A258" s="48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64"/>
    </row>
    <row r="259" spans="1:13" ht="14.25" customHeight="1" x14ac:dyDescent="0.3">
      <c r="A259" s="48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64"/>
    </row>
    <row r="260" spans="1:13" ht="14.25" customHeight="1" x14ac:dyDescent="0.3">
      <c r="A260" s="48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64"/>
    </row>
    <row r="261" spans="1:13" ht="14.25" customHeight="1" x14ac:dyDescent="0.3">
      <c r="A261" s="48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64"/>
    </row>
    <row r="262" spans="1:13" ht="14.25" customHeight="1" x14ac:dyDescent="0.3">
      <c r="A262" s="48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64"/>
    </row>
    <row r="263" spans="1:13" ht="14.25" customHeight="1" x14ac:dyDescent="0.3">
      <c r="A263" s="48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64"/>
    </row>
    <row r="264" spans="1:13" ht="14.25" customHeight="1" x14ac:dyDescent="0.3">
      <c r="A264" s="48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64"/>
    </row>
    <row r="265" spans="1:13" ht="14.25" customHeight="1" x14ac:dyDescent="0.3">
      <c r="A265" s="48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64"/>
    </row>
    <row r="266" spans="1:13" ht="14.25" customHeight="1" x14ac:dyDescent="0.3">
      <c r="A266" s="48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64"/>
    </row>
    <row r="267" spans="1:13" ht="14.25" customHeight="1" x14ac:dyDescent="0.3">
      <c r="A267" s="48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64"/>
    </row>
    <row r="268" spans="1:13" ht="14.25" customHeight="1" x14ac:dyDescent="0.3">
      <c r="A268" s="48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64"/>
    </row>
    <row r="269" spans="1:13" ht="14.25" customHeight="1" x14ac:dyDescent="0.3">
      <c r="A269" s="48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64"/>
    </row>
    <row r="270" spans="1:13" ht="14.25" customHeight="1" x14ac:dyDescent="0.3">
      <c r="A270" s="48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64"/>
    </row>
    <row r="271" spans="1:13" ht="14.25" customHeight="1" x14ac:dyDescent="0.3">
      <c r="A271" s="48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64"/>
    </row>
    <row r="272" spans="1:13" ht="14.25" customHeight="1" x14ac:dyDescent="0.3">
      <c r="A272" s="48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64"/>
    </row>
    <row r="273" spans="1:13" ht="14.25" customHeight="1" x14ac:dyDescent="0.3">
      <c r="A273" s="48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64"/>
    </row>
    <row r="274" spans="1:13" ht="14.25" customHeight="1" x14ac:dyDescent="0.3">
      <c r="A274" s="48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64"/>
    </row>
    <row r="275" spans="1:13" ht="14.25" customHeight="1" x14ac:dyDescent="0.3">
      <c r="A275" s="48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64"/>
    </row>
    <row r="276" spans="1:13" ht="14.25" customHeight="1" x14ac:dyDescent="0.3">
      <c r="A276" s="48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64"/>
    </row>
    <row r="277" spans="1:13" ht="14.25" customHeight="1" x14ac:dyDescent="0.3">
      <c r="A277" s="48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64"/>
    </row>
    <row r="278" spans="1:13" ht="14.25" customHeight="1" x14ac:dyDescent="0.3">
      <c r="A278" s="48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64"/>
    </row>
    <row r="279" spans="1:13" ht="14.25" customHeight="1" x14ac:dyDescent="0.3">
      <c r="A279" s="48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64"/>
    </row>
    <row r="280" spans="1:13" ht="14.25" customHeight="1" x14ac:dyDescent="0.3">
      <c r="A280" s="48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64"/>
    </row>
    <row r="281" spans="1:13" ht="14.25" customHeight="1" x14ac:dyDescent="0.3">
      <c r="A281" s="48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64"/>
    </row>
    <row r="282" spans="1:13" ht="14.25" customHeight="1" x14ac:dyDescent="0.3">
      <c r="A282" s="48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64"/>
    </row>
    <row r="283" spans="1:13" ht="14.25" customHeight="1" x14ac:dyDescent="0.3">
      <c r="A283" s="48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64"/>
    </row>
    <row r="284" spans="1:13" ht="14.25" customHeight="1" x14ac:dyDescent="0.3">
      <c r="A284" s="48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64"/>
    </row>
    <row r="285" spans="1:13" ht="14.25" customHeight="1" x14ac:dyDescent="0.3">
      <c r="A285" s="48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64"/>
    </row>
    <row r="286" spans="1:13" ht="14.25" customHeight="1" x14ac:dyDescent="0.3">
      <c r="A286" s="48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64"/>
    </row>
    <row r="287" spans="1:13" ht="14.25" customHeight="1" x14ac:dyDescent="0.3">
      <c r="A287" s="48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64"/>
    </row>
    <row r="288" spans="1:13" ht="14.25" customHeight="1" x14ac:dyDescent="0.3">
      <c r="A288" s="48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64"/>
    </row>
    <row r="289" spans="1:13" ht="14.25" customHeight="1" x14ac:dyDescent="0.3">
      <c r="A289" s="48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64"/>
    </row>
    <row r="290" spans="1:13" ht="14.25" customHeight="1" x14ac:dyDescent="0.3">
      <c r="A290" s="48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64"/>
    </row>
    <row r="291" spans="1:13" ht="14.25" customHeight="1" x14ac:dyDescent="0.3">
      <c r="A291" s="48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64"/>
    </row>
    <row r="292" spans="1:13" ht="14.25" customHeight="1" x14ac:dyDescent="0.3">
      <c r="A292" s="48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64"/>
    </row>
    <row r="293" spans="1:13" ht="14.25" customHeight="1" x14ac:dyDescent="0.3">
      <c r="A293" s="48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64"/>
    </row>
    <row r="294" spans="1:13" ht="14.25" customHeight="1" x14ac:dyDescent="0.3">
      <c r="A294" s="48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64"/>
    </row>
    <row r="295" spans="1:13" ht="14.25" customHeight="1" x14ac:dyDescent="0.3">
      <c r="A295" s="48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64"/>
    </row>
    <row r="296" spans="1:13" ht="14.25" customHeight="1" x14ac:dyDescent="0.3">
      <c r="A296" s="48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64"/>
    </row>
    <row r="297" spans="1:13" ht="14.25" customHeight="1" x14ac:dyDescent="0.3">
      <c r="A297" s="48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64"/>
    </row>
    <row r="298" spans="1:13" ht="14.25" customHeight="1" x14ac:dyDescent="0.3">
      <c r="A298" s="48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64"/>
    </row>
    <row r="299" spans="1:13" ht="14.25" customHeight="1" x14ac:dyDescent="0.3">
      <c r="A299" s="48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64"/>
    </row>
    <row r="300" spans="1:13" ht="14.25" customHeight="1" x14ac:dyDescent="0.3">
      <c r="A300" s="48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64"/>
    </row>
    <row r="301" spans="1:13" ht="14.25" customHeight="1" x14ac:dyDescent="0.3">
      <c r="A301" s="48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64"/>
    </row>
    <row r="302" spans="1:13" ht="14.25" customHeight="1" x14ac:dyDescent="0.3">
      <c r="A302" s="48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64"/>
    </row>
    <row r="303" spans="1:13" ht="14.25" customHeight="1" x14ac:dyDescent="0.3">
      <c r="A303" s="48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64"/>
    </row>
    <row r="304" spans="1:13" ht="14.25" customHeight="1" x14ac:dyDescent="0.3">
      <c r="A304" s="48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64"/>
    </row>
    <row r="305" spans="1:13" ht="14.25" customHeight="1" x14ac:dyDescent="0.3">
      <c r="A305" s="48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64"/>
    </row>
    <row r="306" spans="1:13" ht="14.25" customHeight="1" x14ac:dyDescent="0.3">
      <c r="A306" s="48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64"/>
    </row>
    <row r="307" spans="1:13" ht="14.25" customHeight="1" x14ac:dyDescent="0.3">
      <c r="A307" s="48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64"/>
    </row>
    <row r="308" spans="1:13" ht="14.25" customHeight="1" x14ac:dyDescent="0.3">
      <c r="A308" s="48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64"/>
    </row>
    <row r="309" spans="1:13" ht="14.25" customHeight="1" x14ac:dyDescent="0.3">
      <c r="A309" s="48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64"/>
    </row>
    <row r="310" spans="1:13" ht="14.25" customHeight="1" x14ac:dyDescent="0.3">
      <c r="A310" s="48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64"/>
    </row>
    <row r="311" spans="1:13" ht="14.25" customHeight="1" x14ac:dyDescent="0.3">
      <c r="A311" s="48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64"/>
    </row>
    <row r="312" spans="1:13" ht="14.25" customHeight="1" x14ac:dyDescent="0.3">
      <c r="A312" s="48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64"/>
    </row>
    <row r="313" spans="1:13" ht="14.25" customHeight="1" x14ac:dyDescent="0.3">
      <c r="A313" s="48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64"/>
    </row>
    <row r="314" spans="1:13" ht="14.25" customHeight="1" x14ac:dyDescent="0.3">
      <c r="A314" s="48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64"/>
    </row>
    <row r="315" spans="1:13" ht="14.25" customHeight="1" x14ac:dyDescent="0.3">
      <c r="A315" s="48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64"/>
    </row>
    <row r="316" spans="1:13" ht="14.25" customHeight="1" x14ac:dyDescent="0.3">
      <c r="A316" s="48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64"/>
    </row>
    <row r="317" spans="1:13" ht="14.25" customHeight="1" x14ac:dyDescent="0.3">
      <c r="A317" s="48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64"/>
    </row>
    <row r="318" spans="1:13" ht="14.25" customHeight="1" x14ac:dyDescent="0.3">
      <c r="A318" s="48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64"/>
    </row>
    <row r="319" spans="1:13" ht="14.25" customHeight="1" x14ac:dyDescent="0.3">
      <c r="A319" s="48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64"/>
    </row>
    <row r="320" spans="1:13" ht="14.25" customHeight="1" x14ac:dyDescent="0.3">
      <c r="A320" s="48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64"/>
    </row>
    <row r="321" spans="1:13" ht="14.25" customHeight="1" x14ac:dyDescent="0.3">
      <c r="A321" s="48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64"/>
    </row>
    <row r="322" spans="1:13" ht="14.25" customHeight="1" x14ac:dyDescent="0.3">
      <c r="A322" s="48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64"/>
    </row>
    <row r="323" spans="1:13" ht="14.25" customHeight="1" x14ac:dyDescent="0.3">
      <c r="A323" s="48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64"/>
    </row>
    <row r="324" spans="1:13" ht="14.25" customHeight="1" x14ac:dyDescent="0.3">
      <c r="A324" s="48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64"/>
    </row>
    <row r="325" spans="1:13" ht="14.25" customHeight="1" x14ac:dyDescent="0.3">
      <c r="A325" s="48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64"/>
    </row>
    <row r="326" spans="1:13" ht="14.25" customHeight="1" x14ac:dyDescent="0.3">
      <c r="A326" s="48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64"/>
    </row>
    <row r="327" spans="1:13" ht="14.25" customHeight="1" x14ac:dyDescent="0.3">
      <c r="A327" s="48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64"/>
    </row>
    <row r="328" spans="1:13" ht="14.25" customHeight="1" x14ac:dyDescent="0.3">
      <c r="A328" s="48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64"/>
    </row>
    <row r="329" spans="1:13" ht="14.25" customHeight="1" x14ac:dyDescent="0.3">
      <c r="A329" s="48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64"/>
    </row>
    <row r="330" spans="1:13" ht="14.25" customHeight="1" x14ac:dyDescent="0.3">
      <c r="A330" s="48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64"/>
    </row>
    <row r="331" spans="1:13" ht="14.25" customHeight="1" x14ac:dyDescent="0.3">
      <c r="A331" s="48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64"/>
    </row>
    <row r="332" spans="1:13" ht="14.25" customHeight="1" x14ac:dyDescent="0.3">
      <c r="A332" s="48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64"/>
    </row>
    <row r="333" spans="1:13" ht="14.25" customHeight="1" x14ac:dyDescent="0.3">
      <c r="A333" s="48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64"/>
    </row>
    <row r="334" spans="1:13" ht="14.25" customHeight="1" x14ac:dyDescent="0.3">
      <c r="A334" s="48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64"/>
    </row>
    <row r="335" spans="1:13" ht="14.25" customHeight="1" x14ac:dyDescent="0.3">
      <c r="A335" s="48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64"/>
    </row>
    <row r="336" spans="1:13" ht="14.25" customHeight="1" x14ac:dyDescent="0.3">
      <c r="A336" s="48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64"/>
    </row>
    <row r="337" spans="1:13" ht="14.25" customHeight="1" x14ac:dyDescent="0.3">
      <c r="A337" s="48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4"/>
    </row>
    <row r="338" spans="1:13" ht="14.25" customHeight="1" x14ac:dyDescent="0.3">
      <c r="A338" s="48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4"/>
    </row>
    <row r="339" spans="1:13" ht="14.25" customHeight="1" x14ac:dyDescent="0.3">
      <c r="A339" s="48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4"/>
    </row>
    <row r="340" spans="1:13" ht="14.25" customHeight="1" x14ac:dyDescent="0.3">
      <c r="A340" s="48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4"/>
    </row>
    <row r="341" spans="1:13" ht="14.25" customHeight="1" x14ac:dyDescent="0.3">
      <c r="A341" s="48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4"/>
    </row>
    <row r="342" spans="1:13" ht="14.25" customHeight="1" x14ac:dyDescent="0.3">
      <c r="A342" s="48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4"/>
    </row>
    <row r="343" spans="1:13" ht="14.25" customHeight="1" x14ac:dyDescent="0.3">
      <c r="A343" s="48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64"/>
    </row>
    <row r="344" spans="1:13" ht="14.25" customHeight="1" x14ac:dyDescent="0.3">
      <c r="A344" s="48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4"/>
    </row>
    <row r="345" spans="1:13" ht="14.25" customHeight="1" x14ac:dyDescent="0.3">
      <c r="A345" s="48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4"/>
    </row>
    <row r="346" spans="1:13" ht="14.25" customHeight="1" x14ac:dyDescent="0.3">
      <c r="A346" s="48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4"/>
    </row>
    <row r="347" spans="1:13" ht="14.25" customHeight="1" x14ac:dyDescent="0.3">
      <c r="A347" s="48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4"/>
    </row>
    <row r="348" spans="1:13" ht="14.25" customHeight="1" x14ac:dyDescent="0.3">
      <c r="A348" s="48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4"/>
    </row>
    <row r="349" spans="1:13" ht="14.25" customHeight="1" x14ac:dyDescent="0.3">
      <c r="A349" s="48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4"/>
    </row>
    <row r="350" spans="1:13" ht="14.25" customHeight="1" x14ac:dyDescent="0.3">
      <c r="A350" s="48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4"/>
    </row>
    <row r="351" spans="1:13" ht="14.25" customHeight="1" x14ac:dyDescent="0.3">
      <c r="A351" s="48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4"/>
    </row>
    <row r="352" spans="1:13" ht="14.25" customHeight="1" x14ac:dyDescent="0.3">
      <c r="A352" s="48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64"/>
    </row>
    <row r="353" spans="1:13" ht="14.25" customHeight="1" x14ac:dyDescent="0.3">
      <c r="A353" s="48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64"/>
    </row>
    <row r="354" spans="1:13" ht="14.25" customHeight="1" x14ac:dyDescent="0.3">
      <c r="A354" s="48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64"/>
    </row>
    <row r="355" spans="1:13" ht="14.25" customHeight="1" x14ac:dyDescent="0.3">
      <c r="A355" s="48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4"/>
    </row>
    <row r="356" spans="1:13" ht="14.25" customHeight="1" x14ac:dyDescent="0.3">
      <c r="A356" s="48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64"/>
    </row>
    <row r="357" spans="1:13" ht="14.25" customHeight="1" x14ac:dyDescent="0.3">
      <c r="A357" s="48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64"/>
    </row>
    <row r="358" spans="1:13" ht="14.25" customHeight="1" x14ac:dyDescent="0.3">
      <c r="A358" s="48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4"/>
    </row>
    <row r="359" spans="1:13" ht="14.25" customHeight="1" x14ac:dyDescent="0.3">
      <c r="A359" s="48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64"/>
    </row>
    <row r="360" spans="1:13" ht="14.25" customHeight="1" x14ac:dyDescent="0.3">
      <c r="A360" s="48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4"/>
    </row>
    <row r="361" spans="1:13" ht="14.25" customHeight="1" x14ac:dyDescent="0.3">
      <c r="A361" s="48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64"/>
    </row>
    <row r="362" spans="1:13" ht="14.25" customHeight="1" x14ac:dyDescent="0.3">
      <c r="A362" s="48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64"/>
    </row>
    <row r="363" spans="1:13" ht="14.25" customHeight="1" x14ac:dyDescent="0.3">
      <c r="A363" s="48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64"/>
    </row>
    <row r="364" spans="1:13" ht="14.25" customHeight="1" x14ac:dyDescent="0.3">
      <c r="A364" s="48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64"/>
    </row>
    <row r="365" spans="1:13" ht="14.25" customHeight="1" x14ac:dyDescent="0.3">
      <c r="A365" s="48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64"/>
    </row>
    <row r="366" spans="1:13" ht="14.25" customHeight="1" x14ac:dyDescent="0.3">
      <c r="A366" s="48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64"/>
    </row>
    <row r="367" spans="1:13" ht="14.25" customHeight="1" x14ac:dyDescent="0.3">
      <c r="A367" s="48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64"/>
    </row>
    <row r="368" spans="1:13" ht="14.25" customHeight="1" x14ac:dyDescent="0.3">
      <c r="A368" s="48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64"/>
    </row>
    <row r="369" spans="1:13" ht="14.25" customHeight="1" x14ac:dyDescent="0.3">
      <c r="A369" s="48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64"/>
    </row>
    <row r="370" spans="1:13" ht="14.25" customHeight="1" x14ac:dyDescent="0.3">
      <c r="A370" s="48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64"/>
    </row>
    <row r="371" spans="1:13" ht="14.25" customHeight="1" x14ac:dyDescent="0.3">
      <c r="A371" s="48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64"/>
    </row>
    <row r="372" spans="1:13" ht="14.25" customHeight="1" x14ac:dyDescent="0.3">
      <c r="A372" s="48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64"/>
    </row>
    <row r="373" spans="1:13" ht="14.25" customHeight="1" x14ac:dyDescent="0.3">
      <c r="A373" s="48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64"/>
    </row>
    <row r="374" spans="1:13" ht="14.25" customHeight="1" x14ac:dyDescent="0.3">
      <c r="A374" s="48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64"/>
    </row>
    <row r="375" spans="1:13" ht="14.25" customHeight="1" x14ac:dyDescent="0.3">
      <c r="A375" s="48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64"/>
    </row>
    <row r="376" spans="1:13" ht="14.25" customHeight="1" x14ac:dyDescent="0.3">
      <c r="A376" s="48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64"/>
    </row>
    <row r="377" spans="1:13" ht="14.25" customHeight="1" x14ac:dyDescent="0.3">
      <c r="A377" s="48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64"/>
    </row>
    <row r="378" spans="1:13" ht="14.25" customHeight="1" x14ac:dyDescent="0.3">
      <c r="A378" s="48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64"/>
    </row>
    <row r="379" spans="1:13" ht="14.25" customHeight="1" x14ac:dyDescent="0.3">
      <c r="A379" s="48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64"/>
    </row>
    <row r="380" spans="1:13" ht="14.25" customHeight="1" x14ac:dyDescent="0.3">
      <c r="A380" s="48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64"/>
    </row>
    <row r="381" spans="1:13" ht="14.25" customHeight="1" x14ac:dyDescent="0.3">
      <c r="A381" s="48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64"/>
    </row>
    <row r="382" spans="1:13" ht="14.25" customHeight="1" x14ac:dyDescent="0.3">
      <c r="A382" s="48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64"/>
    </row>
    <row r="383" spans="1:13" ht="14.25" customHeight="1" x14ac:dyDescent="0.3">
      <c r="A383" s="48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64"/>
    </row>
    <row r="384" spans="1:13" ht="14.25" customHeight="1" x14ac:dyDescent="0.3">
      <c r="A384" s="48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64"/>
    </row>
    <row r="385" spans="1:13" ht="14.25" customHeight="1" x14ac:dyDescent="0.3">
      <c r="A385" s="48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64"/>
    </row>
    <row r="386" spans="1:13" ht="14.25" customHeight="1" x14ac:dyDescent="0.3">
      <c r="A386" s="48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64"/>
    </row>
    <row r="387" spans="1:13" ht="14.25" customHeight="1" x14ac:dyDescent="0.3">
      <c r="A387" s="48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64"/>
    </row>
    <row r="388" spans="1:13" ht="14.25" customHeight="1" x14ac:dyDescent="0.3">
      <c r="A388" s="48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64"/>
    </row>
    <row r="389" spans="1:13" ht="14.25" customHeight="1" x14ac:dyDescent="0.3">
      <c r="A389" s="48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64"/>
    </row>
    <row r="390" spans="1:13" ht="14.25" customHeight="1" x14ac:dyDescent="0.3">
      <c r="A390" s="48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64"/>
    </row>
    <row r="391" spans="1:13" ht="14.25" customHeight="1" x14ac:dyDescent="0.3">
      <c r="A391" s="48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64"/>
    </row>
    <row r="392" spans="1:13" ht="14.25" customHeight="1" x14ac:dyDescent="0.3">
      <c r="A392" s="48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64"/>
    </row>
    <row r="393" spans="1:13" ht="14.25" customHeight="1" x14ac:dyDescent="0.3">
      <c r="A393" s="48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64"/>
    </row>
    <row r="394" spans="1:13" ht="14.25" customHeight="1" x14ac:dyDescent="0.3">
      <c r="A394" s="48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64"/>
    </row>
    <row r="395" spans="1:13" ht="14.25" customHeight="1" x14ac:dyDescent="0.3">
      <c r="A395" s="48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64"/>
    </row>
    <row r="396" spans="1:13" ht="14.25" customHeight="1" x14ac:dyDescent="0.3">
      <c r="A396" s="48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64"/>
    </row>
    <row r="397" spans="1:13" ht="14.25" customHeight="1" x14ac:dyDescent="0.3">
      <c r="A397" s="48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64"/>
    </row>
    <row r="398" spans="1:13" ht="14.25" customHeight="1" x14ac:dyDescent="0.3">
      <c r="A398" s="48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64"/>
    </row>
    <row r="399" spans="1:13" ht="14.25" customHeight="1" x14ac:dyDescent="0.3">
      <c r="A399" s="48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64"/>
    </row>
    <row r="400" spans="1:13" ht="14.25" customHeight="1" x14ac:dyDescent="0.3">
      <c r="A400" s="48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64"/>
    </row>
    <row r="401" spans="1:13" ht="14.25" customHeight="1" x14ac:dyDescent="0.3">
      <c r="A401" s="48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64"/>
    </row>
    <row r="402" spans="1:13" ht="14.25" customHeight="1" x14ac:dyDescent="0.3">
      <c r="A402" s="48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64"/>
    </row>
    <row r="403" spans="1:13" ht="14.25" customHeight="1" x14ac:dyDescent="0.3">
      <c r="A403" s="48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64"/>
    </row>
    <row r="404" spans="1:13" ht="14.25" customHeight="1" x14ac:dyDescent="0.3">
      <c r="A404" s="48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64"/>
    </row>
    <row r="405" spans="1:13" ht="14.25" customHeight="1" x14ac:dyDescent="0.3">
      <c r="A405" s="48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64"/>
    </row>
    <row r="406" spans="1:13" ht="14.25" customHeight="1" x14ac:dyDescent="0.3">
      <c r="A406" s="48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64"/>
    </row>
    <row r="407" spans="1:13" ht="14.25" customHeight="1" x14ac:dyDescent="0.3">
      <c r="A407" s="48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64"/>
    </row>
    <row r="408" spans="1:13" ht="14.25" customHeight="1" x14ac:dyDescent="0.3">
      <c r="A408" s="48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64"/>
    </row>
    <row r="409" spans="1:13" ht="14.25" customHeight="1" x14ac:dyDescent="0.3">
      <c r="A409" s="48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64"/>
    </row>
    <row r="410" spans="1:13" ht="14.25" customHeight="1" x14ac:dyDescent="0.3">
      <c r="A410" s="48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64"/>
    </row>
    <row r="411" spans="1:13" ht="14.25" customHeight="1" x14ac:dyDescent="0.3">
      <c r="A411" s="48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64"/>
    </row>
    <row r="412" spans="1:13" ht="14.25" customHeight="1" x14ac:dyDescent="0.3">
      <c r="A412" s="48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64"/>
    </row>
    <row r="413" spans="1:13" ht="14.25" customHeight="1" x14ac:dyDescent="0.3">
      <c r="A413" s="48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64"/>
    </row>
    <row r="414" spans="1:13" ht="14.25" customHeight="1" x14ac:dyDescent="0.3">
      <c r="A414" s="48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64"/>
    </row>
    <row r="415" spans="1:13" ht="14.25" customHeight="1" x14ac:dyDescent="0.3">
      <c r="A415" s="48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64"/>
    </row>
    <row r="416" spans="1:13" ht="14.25" customHeight="1" x14ac:dyDescent="0.3">
      <c r="A416" s="48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64"/>
    </row>
    <row r="417" spans="1:13" ht="14.25" customHeight="1" x14ac:dyDescent="0.3">
      <c r="A417" s="48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64"/>
    </row>
    <row r="418" spans="1:13" ht="14.25" customHeight="1" x14ac:dyDescent="0.3">
      <c r="A418" s="48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64"/>
    </row>
    <row r="419" spans="1:13" ht="14.25" customHeight="1" x14ac:dyDescent="0.3">
      <c r="A419" s="48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64"/>
    </row>
    <row r="420" spans="1:13" ht="14.25" customHeight="1" x14ac:dyDescent="0.3">
      <c r="A420" s="48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64"/>
    </row>
    <row r="421" spans="1:13" ht="14.25" customHeight="1" x14ac:dyDescent="0.3">
      <c r="A421" s="48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64"/>
    </row>
    <row r="422" spans="1:13" ht="14.25" customHeight="1" x14ac:dyDescent="0.3">
      <c r="A422" s="48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64"/>
    </row>
    <row r="423" spans="1:13" ht="14.25" customHeight="1" x14ac:dyDescent="0.3">
      <c r="A423" s="48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64"/>
    </row>
    <row r="424" spans="1:13" ht="14.25" customHeight="1" x14ac:dyDescent="0.3">
      <c r="A424" s="48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64"/>
    </row>
    <row r="425" spans="1:13" ht="14.25" customHeight="1" x14ac:dyDescent="0.3">
      <c r="A425" s="48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64"/>
    </row>
    <row r="426" spans="1:13" ht="14.25" customHeight="1" x14ac:dyDescent="0.3">
      <c r="A426" s="48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64"/>
    </row>
    <row r="427" spans="1:13" ht="14.25" customHeight="1" x14ac:dyDescent="0.3">
      <c r="A427" s="48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64"/>
    </row>
    <row r="428" spans="1:13" ht="14.25" customHeight="1" x14ac:dyDescent="0.3">
      <c r="A428" s="48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64"/>
    </row>
    <row r="429" spans="1:13" ht="14.25" customHeight="1" x14ac:dyDescent="0.3">
      <c r="A429" s="48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64"/>
    </row>
    <row r="430" spans="1:13" ht="14.25" customHeight="1" x14ac:dyDescent="0.3">
      <c r="A430" s="48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64"/>
    </row>
    <row r="431" spans="1:13" ht="14.25" customHeight="1" x14ac:dyDescent="0.3">
      <c r="A431" s="48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64"/>
    </row>
    <row r="432" spans="1:13" ht="14.25" customHeight="1" x14ac:dyDescent="0.3">
      <c r="A432" s="48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64"/>
    </row>
    <row r="433" spans="1:13" ht="14.25" customHeight="1" x14ac:dyDescent="0.3">
      <c r="A433" s="48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64"/>
    </row>
    <row r="434" spans="1:13" ht="14.25" customHeight="1" x14ac:dyDescent="0.3">
      <c r="A434" s="48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64"/>
    </row>
    <row r="435" spans="1:13" ht="14.25" customHeight="1" x14ac:dyDescent="0.3">
      <c r="A435" s="48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64"/>
    </row>
    <row r="436" spans="1:13" ht="14.25" customHeight="1" x14ac:dyDescent="0.3">
      <c r="A436" s="48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64"/>
    </row>
    <row r="437" spans="1:13" ht="14.25" customHeight="1" x14ac:dyDescent="0.3">
      <c r="A437" s="48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64"/>
    </row>
    <row r="438" spans="1:13" ht="14.25" customHeight="1" x14ac:dyDescent="0.3">
      <c r="A438" s="48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64"/>
    </row>
    <row r="439" spans="1:13" ht="14.25" customHeight="1" x14ac:dyDescent="0.3">
      <c r="A439" s="48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64"/>
    </row>
    <row r="440" spans="1:13" ht="14.25" customHeight="1" x14ac:dyDescent="0.3">
      <c r="A440" s="48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64"/>
    </row>
    <row r="441" spans="1:13" ht="14.25" customHeight="1" x14ac:dyDescent="0.3">
      <c r="A441" s="48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64"/>
    </row>
    <row r="442" spans="1:13" ht="14.25" customHeight="1" x14ac:dyDescent="0.3">
      <c r="A442" s="48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64"/>
    </row>
    <row r="443" spans="1:13" ht="14.25" customHeight="1" x14ac:dyDescent="0.3">
      <c r="A443" s="48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64"/>
    </row>
    <row r="444" spans="1:13" ht="14.25" customHeight="1" x14ac:dyDescent="0.3">
      <c r="A444" s="48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64"/>
    </row>
    <row r="445" spans="1:13" ht="14.25" customHeight="1" x14ac:dyDescent="0.3">
      <c r="A445" s="48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64"/>
    </row>
    <row r="446" spans="1:13" ht="14.25" customHeight="1" x14ac:dyDescent="0.3">
      <c r="A446" s="48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64"/>
    </row>
    <row r="447" spans="1:13" ht="14.25" customHeight="1" x14ac:dyDescent="0.3">
      <c r="A447" s="48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64"/>
    </row>
    <row r="448" spans="1:13" ht="14.25" customHeight="1" x14ac:dyDescent="0.3">
      <c r="A448" s="48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64"/>
    </row>
    <row r="449" spans="1:13" ht="14.25" customHeight="1" x14ac:dyDescent="0.3">
      <c r="A449" s="48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64"/>
    </row>
    <row r="450" spans="1:13" ht="14.25" customHeight="1" x14ac:dyDescent="0.3">
      <c r="A450" s="48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64"/>
    </row>
    <row r="451" spans="1:13" ht="14.25" customHeight="1" x14ac:dyDescent="0.3">
      <c r="A451" s="48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64"/>
    </row>
    <row r="452" spans="1:13" ht="14.25" customHeight="1" x14ac:dyDescent="0.3">
      <c r="A452" s="48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64"/>
    </row>
    <row r="453" spans="1:13" ht="14.25" customHeight="1" x14ac:dyDescent="0.3">
      <c r="A453" s="48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64"/>
    </row>
    <row r="454" spans="1:13" ht="14.25" customHeight="1" x14ac:dyDescent="0.3">
      <c r="A454" s="48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64"/>
    </row>
    <row r="455" spans="1:13" ht="14.25" customHeight="1" x14ac:dyDescent="0.3">
      <c r="A455" s="48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64"/>
    </row>
    <row r="456" spans="1:13" ht="14.25" customHeight="1" x14ac:dyDescent="0.3">
      <c r="A456" s="48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64"/>
    </row>
    <row r="457" spans="1:13" ht="14.25" customHeight="1" x14ac:dyDescent="0.3">
      <c r="A457" s="48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64"/>
    </row>
    <row r="458" spans="1:13" ht="14.25" customHeight="1" x14ac:dyDescent="0.3">
      <c r="A458" s="48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64"/>
    </row>
    <row r="459" spans="1:13" ht="14.25" customHeight="1" x14ac:dyDescent="0.3">
      <c r="A459" s="48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64"/>
    </row>
    <row r="460" spans="1:13" ht="14.25" customHeight="1" x14ac:dyDescent="0.3">
      <c r="A460" s="48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64"/>
    </row>
    <row r="461" spans="1:13" ht="14.25" customHeight="1" x14ac:dyDescent="0.3">
      <c r="A461" s="48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64"/>
    </row>
    <row r="462" spans="1:13" ht="14.25" customHeight="1" x14ac:dyDescent="0.3">
      <c r="A462" s="48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64"/>
    </row>
    <row r="463" spans="1:13" ht="14.25" customHeight="1" x14ac:dyDescent="0.3">
      <c r="A463" s="48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64"/>
    </row>
    <row r="464" spans="1:13" ht="14.25" customHeight="1" x14ac:dyDescent="0.3">
      <c r="A464" s="48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64"/>
    </row>
    <row r="465" spans="1:13" ht="14.25" customHeight="1" x14ac:dyDescent="0.3">
      <c r="A465" s="48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64"/>
    </row>
    <row r="466" spans="1:13" ht="14.25" customHeight="1" x14ac:dyDescent="0.3">
      <c r="A466" s="48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64"/>
    </row>
    <row r="467" spans="1:13" ht="14.25" customHeight="1" x14ac:dyDescent="0.3">
      <c r="A467" s="48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64"/>
    </row>
    <row r="468" spans="1:13" ht="14.25" customHeight="1" x14ac:dyDescent="0.3">
      <c r="A468" s="48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64"/>
    </row>
    <row r="469" spans="1:13" ht="14.25" customHeight="1" x14ac:dyDescent="0.3">
      <c r="A469" s="48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64"/>
    </row>
    <row r="470" spans="1:13" ht="14.25" customHeight="1" x14ac:dyDescent="0.3">
      <c r="A470" s="48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64"/>
    </row>
    <row r="471" spans="1:13" ht="14.25" customHeight="1" x14ac:dyDescent="0.3">
      <c r="A471" s="48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64"/>
    </row>
    <row r="472" spans="1:13" ht="14.25" customHeight="1" x14ac:dyDescent="0.3">
      <c r="A472" s="48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64"/>
    </row>
    <row r="473" spans="1:13" ht="14.25" customHeight="1" x14ac:dyDescent="0.3">
      <c r="A473" s="48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64"/>
    </row>
    <row r="474" spans="1:13" ht="14.25" customHeight="1" x14ac:dyDescent="0.3">
      <c r="A474" s="48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64"/>
    </row>
    <row r="475" spans="1:13" ht="14.25" customHeight="1" x14ac:dyDescent="0.3">
      <c r="A475" s="48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64"/>
    </row>
    <row r="476" spans="1:13" ht="14.25" customHeight="1" x14ac:dyDescent="0.3">
      <c r="A476" s="48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64"/>
    </row>
    <row r="477" spans="1:13" ht="14.25" customHeight="1" x14ac:dyDescent="0.3">
      <c r="A477" s="48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64"/>
    </row>
    <row r="478" spans="1:13" ht="14.25" customHeight="1" x14ac:dyDescent="0.3">
      <c r="A478" s="48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64"/>
    </row>
    <row r="479" spans="1:13" ht="14.25" customHeight="1" x14ac:dyDescent="0.3">
      <c r="A479" s="48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64"/>
    </row>
    <row r="480" spans="1:13" ht="14.25" customHeight="1" x14ac:dyDescent="0.3">
      <c r="A480" s="48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64"/>
    </row>
    <row r="481" spans="1:13" ht="14.25" customHeight="1" x14ac:dyDescent="0.3">
      <c r="A481" s="48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64"/>
    </row>
    <row r="482" spans="1:13" ht="14.25" customHeight="1" x14ac:dyDescent="0.3">
      <c r="A482" s="48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64"/>
    </row>
    <row r="483" spans="1:13" ht="14.25" customHeight="1" x14ac:dyDescent="0.3">
      <c r="A483" s="48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64"/>
    </row>
    <row r="484" spans="1:13" ht="14.25" customHeight="1" x14ac:dyDescent="0.3">
      <c r="A484" s="48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64"/>
    </row>
    <row r="485" spans="1:13" ht="14.25" customHeight="1" x14ac:dyDescent="0.3">
      <c r="A485" s="48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64"/>
    </row>
    <row r="486" spans="1:13" ht="14.25" customHeight="1" x14ac:dyDescent="0.3">
      <c r="A486" s="48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64"/>
    </row>
    <row r="487" spans="1:13" ht="14.25" customHeight="1" x14ac:dyDescent="0.3">
      <c r="A487" s="48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64"/>
    </row>
    <row r="488" spans="1:13" ht="14.25" customHeight="1" x14ac:dyDescent="0.3">
      <c r="A488" s="48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64"/>
    </row>
    <row r="489" spans="1:13" ht="14.25" customHeight="1" x14ac:dyDescent="0.3">
      <c r="A489" s="48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64"/>
    </row>
    <row r="490" spans="1:13" ht="14.25" customHeight="1" x14ac:dyDescent="0.3">
      <c r="A490" s="48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64"/>
    </row>
    <row r="491" spans="1:13" ht="14.25" customHeight="1" x14ac:dyDescent="0.3">
      <c r="A491" s="48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64"/>
    </row>
    <row r="492" spans="1:13" ht="14.25" customHeight="1" x14ac:dyDescent="0.3">
      <c r="A492" s="48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64"/>
    </row>
    <row r="493" spans="1:13" ht="14.25" customHeight="1" x14ac:dyDescent="0.3">
      <c r="A493" s="48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64"/>
    </row>
    <row r="494" spans="1:13" ht="14.25" customHeight="1" x14ac:dyDescent="0.3">
      <c r="A494" s="48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64"/>
    </row>
    <row r="495" spans="1:13" ht="14.25" customHeight="1" x14ac:dyDescent="0.3">
      <c r="A495" s="48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64"/>
    </row>
    <row r="496" spans="1:13" ht="14.25" customHeight="1" x14ac:dyDescent="0.3">
      <c r="A496" s="48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64"/>
    </row>
    <row r="497" spans="1:13" ht="14.25" customHeight="1" x14ac:dyDescent="0.3">
      <c r="A497" s="48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64"/>
    </row>
    <row r="498" spans="1:13" ht="14.25" customHeight="1" x14ac:dyDescent="0.3">
      <c r="A498" s="48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64"/>
    </row>
    <row r="499" spans="1:13" ht="14.25" customHeight="1" x14ac:dyDescent="0.3">
      <c r="A499" s="48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64"/>
    </row>
    <row r="500" spans="1:13" ht="14.25" customHeight="1" x14ac:dyDescent="0.3">
      <c r="A500" s="48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64"/>
    </row>
    <row r="501" spans="1:13" ht="14.25" customHeight="1" x14ac:dyDescent="0.3">
      <c r="A501" s="48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64"/>
    </row>
    <row r="502" spans="1:13" ht="14.25" customHeight="1" x14ac:dyDescent="0.3">
      <c r="A502" s="48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64"/>
    </row>
    <row r="503" spans="1:13" ht="14.25" customHeight="1" x14ac:dyDescent="0.3">
      <c r="A503" s="48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64"/>
    </row>
    <row r="504" spans="1:13" ht="14.25" customHeight="1" x14ac:dyDescent="0.3">
      <c r="A504" s="48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64"/>
    </row>
    <row r="505" spans="1:13" ht="14.25" customHeight="1" x14ac:dyDescent="0.3">
      <c r="A505" s="48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64"/>
    </row>
    <row r="506" spans="1:13" ht="14.25" customHeight="1" x14ac:dyDescent="0.3">
      <c r="A506" s="48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64"/>
    </row>
    <row r="507" spans="1:13" ht="14.25" customHeight="1" x14ac:dyDescent="0.3">
      <c r="A507" s="48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64"/>
    </row>
    <row r="508" spans="1:13" ht="14.25" customHeight="1" x14ac:dyDescent="0.3">
      <c r="A508" s="48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64"/>
    </row>
    <row r="509" spans="1:13" ht="14.25" customHeight="1" x14ac:dyDescent="0.3">
      <c r="A509" s="48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64"/>
    </row>
    <row r="510" spans="1:13" ht="14.25" customHeight="1" x14ac:dyDescent="0.3">
      <c r="A510" s="48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64"/>
    </row>
    <row r="511" spans="1:13" ht="14.25" customHeight="1" x14ac:dyDescent="0.3">
      <c r="A511" s="48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64"/>
    </row>
    <row r="512" spans="1:13" ht="14.25" customHeight="1" x14ac:dyDescent="0.3">
      <c r="A512" s="48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64"/>
    </row>
    <row r="513" spans="1:13" ht="14.25" customHeight="1" x14ac:dyDescent="0.3">
      <c r="A513" s="48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64"/>
    </row>
    <row r="514" spans="1:13" ht="14.25" customHeight="1" x14ac:dyDescent="0.3">
      <c r="A514" s="48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64"/>
    </row>
    <row r="515" spans="1:13" ht="14.25" customHeight="1" x14ac:dyDescent="0.3">
      <c r="A515" s="48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64"/>
    </row>
    <row r="516" spans="1:13" ht="14.25" customHeight="1" x14ac:dyDescent="0.3">
      <c r="A516" s="48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64"/>
    </row>
    <row r="517" spans="1:13" ht="14.25" customHeight="1" x14ac:dyDescent="0.3">
      <c r="A517" s="48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64"/>
    </row>
    <row r="518" spans="1:13" ht="14.25" customHeight="1" x14ac:dyDescent="0.3">
      <c r="A518" s="48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64"/>
    </row>
    <row r="519" spans="1:13" ht="14.25" customHeight="1" x14ac:dyDescent="0.3">
      <c r="A519" s="48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64"/>
    </row>
    <row r="520" spans="1:13" ht="14.25" customHeight="1" x14ac:dyDescent="0.3">
      <c r="A520" s="48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64"/>
    </row>
    <row r="521" spans="1:13" ht="14.25" customHeight="1" x14ac:dyDescent="0.3">
      <c r="A521" s="48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64"/>
    </row>
    <row r="522" spans="1:13" ht="14.25" customHeight="1" x14ac:dyDescent="0.3">
      <c r="A522" s="48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64"/>
    </row>
    <row r="523" spans="1:13" ht="14.25" customHeight="1" x14ac:dyDescent="0.3">
      <c r="A523" s="48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64"/>
    </row>
    <row r="524" spans="1:13" ht="14.25" customHeight="1" x14ac:dyDescent="0.3">
      <c r="A524" s="48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64"/>
    </row>
    <row r="525" spans="1:13" ht="14.25" customHeight="1" x14ac:dyDescent="0.3">
      <c r="A525" s="48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64"/>
    </row>
    <row r="526" spans="1:13" ht="14.25" customHeight="1" x14ac:dyDescent="0.3">
      <c r="A526" s="48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64"/>
    </row>
    <row r="527" spans="1:13" ht="14.25" customHeight="1" x14ac:dyDescent="0.3">
      <c r="A527" s="48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64"/>
    </row>
    <row r="528" spans="1:13" ht="14.25" customHeight="1" x14ac:dyDescent="0.3">
      <c r="A528" s="48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64"/>
    </row>
    <row r="529" spans="1:13" ht="14.25" customHeight="1" x14ac:dyDescent="0.3">
      <c r="A529" s="48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64"/>
    </row>
    <row r="530" spans="1:13" ht="14.25" customHeight="1" x14ac:dyDescent="0.3">
      <c r="A530" s="48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64"/>
    </row>
    <row r="531" spans="1:13" ht="14.25" customHeight="1" x14ac:dyDescent="0.3">
      <c r="A531" s="48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64"/>
    </row>
    <row r="532" spans="1:13" ht="14.25" customHeight="1" x14ac:dyDescent="0.3">
      <c r="A532" s="48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64"/>
    </row>
    <row r="533" spans="1:13" ht="14.25" customHeight="1" x14ac:dyDescent="0.3">
      <c r="A533" s="48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64"/>
    </row>
    <row r="534" spans="1:13" ht="14.25" customHeight="1" x14ac:dyDescent="0.3">
      <c r="A534" s="48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64"/>
    </row>
    <row r="535" spans="1:13" ht="14.25" customHeight="1" x14ac:dyDescent="0.3">
      <c r="A535" s="48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64"/>
    </row>
    <row r="536" spans="1:13" ht="14.25" customHeight="1" x14ac:dyDescent="0.3">
      <c r="A536" s="48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64"/>
    </row>
    <row r="537" spans="1:13" ht="14.25" customHeight="1" x14ac:dyDescent="0.3">
      <c r="A537" s="48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64"/>
    </row>
    <row r="538" spans="1:13" ht="14.25" customHeight="1" x14ac:dyDescent="0.3">
      <c r="A538" s="48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64"/>
    </row>
    <row r="539" spans="1:13" ht="14.25" customHeight="1" x14ac:dyDescent="0.3">
      <c r="A539" s="48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64"/>
    </row>
    <row r="540" spans="1:13" ht="14.25" customHeight="1" x14ac:dyDescent="0.3">
      <c r="A540" s="48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64"/>
    </row>
    <row r="541" spans="1:13" ht="14.25" customHeight="1" x14ac:dyDescent="0.3">
      <c r="A541" s="48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64"/>
    </row>
    <row r="542" spans="1:13" ht="14.25" customHeight="1" x14ac:dyDescent="0.3">
      <c r="A542" s="48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64"/>
    </row>
    <row r="543" spans="1:13" ht="14.25" customHeight="1" x14ac:dyDescent="0.3">
      <c r="A543" s="48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64"/>
    </row>
    <row r="544" spans="1:13" ht="14.25" customHeight="1" x14ac:dyDescent="0.3">
      <c r="A544" s="48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64"/>
    </row>
    <row r="545" spans="1:13" ht="14.25" customHeight="1" x14ac:dyDescent="0.3">
      <c r="A545" s="48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64"/>
    </row>
    <row r="546" spans="1:13" ht="14.25" customHeight="1" x14ac:dyDescent="0.3">
      <c r="A546" s="48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64"/>
    </row>
    <row r="547" spans="1:13" ht="14.25" customHeight="1" x14ac:dyDescent="0.3">
      <c r="A547" s="48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64"/>
    </row>
    <row r="548" spans="1:13" ht="14.25" customHeight="1" x14ac:dyDescent="0.3">
      <c r="A548" s="48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64"/>
    </row>
    <row r="549" spans="1:13" ht="14.25" customHeight="1" x14ac:dyDescent="0.3">
      <c r="A549" s="48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64"/>
    </row>
    <row r="550" spans="1:13" ht="14.25" customHeight="1" x14ac:dyDescent="0.3">
      <c r="A550" s="48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64"/>
    </row>
    <row r="551" spans="1:13" ht="14.25" customHeight="1" x14ac:dyDescent="0.3">
      <c r="A551" s="48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64"/>
    </row>
    <row r="552" spans="1:13" ht="14.25" customHeight="1" x14ac:dyDescent="0.3">
      <c r="A552" s="48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64"/>
    </row>
    <row r="553" spans="1:13" ht="14.25" customHeight="1" x14ac:dyDescent="0.3">
      <c r="A553" s="48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64"/>
    </row>
    <row r="554" spans="1:13" ht="14.25" customHeight="1" x14ac:dyDescent="0.3">
      <c r="A554" s="48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64"/>
    </row>
    <row r="555" spans="1:13" ht="14.25" customHeight="1" x14ac:dyDescent="0.3">
      <c r="A555" s="48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64"/>
    </row>
    <row r="556" spans="1:13" ht="14.25" customHeight="1" x14ac:dyDescent="0.3">
      <c r="A556" s="48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64"/>
    </row>
    <row r="557" spans="1:13" ht="14.25" customHeight="1" x14ac:dyDescent="0.3">
      <c r="A557" s="48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64"/>
    </row>
    <row r="558" spans="1:13" ht="14.25" customHeight="1" x14ac:dyDescent="0.3">
      <c r="A558" s="48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64"/>
    </row>
    <row r="559" spans="1:13" ht="14.25" customHeight="1" x14ac:dyDescent="0.3">
      <c r="A559" s="48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64"/>
    </row>
    <row r="560" spans="1:13" ht="14.25" customHeight="1" x14ac:dyDescent="0.3">
      <c r="A560" s="48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64"/>
    </row>
    <row r="561" spans="1:13" ht="14.25" customHeight="1" x14ac:dyDescent="0.3">
      <c r="A561" s="48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64"/>
    </row>
    <row r="562" spans="1:13" ht="14.25" customHeight="1" x14ac:dyDescent="0.3">
      <c r="A562" s="48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64"/>
    </row>
    <row r="563" spans="1:13" ht="14.25" customHeight="1" x14ac:dyDescent="0.3">
      <c r="A563" s="48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64"/>
    </row>
    <row r="564" spans="1:13" ht="14.25" customHeight="1" x14ac:dyDescent="0.3">
      <c r="A564" s="48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64"/>
    </row>
    <row r="565" spans="1:13" ht="14.25" customHeight="1" x14ac:dyDescent="0.3">
      <c r="A565" s="48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64"/>
    </row>
    <row r="566" spans="1:13" ht="14.25" customHeight="1" x14ac:dyDescent="0.3">
      <c r="A566" s="48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64"/>
    </row>
    <row r="567" spans="1:13" ht="14.25" customHeight="1" x14ac:dyDescent="0.3">
      <c r="A567" s="48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64"/>
    </row>
    <row r="568" spans="1:13" ht="14.25" customHeight="1" x14ac:dyDescent="0.3">
      <c r="A568" s="48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64"/>
    </row>
    <row r="569" spans="1:13" ht="14.25" customHeight="1" x14ac:dyDescent="0.3">
      <c r="A569" s="48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64"/>
    </row>
    <row r="570" spans="1:13" ht="14.25" customHeight="1" x14ac:dyDescent="0.3">
      <c r="A570" s="48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64"/>
    </row>
    <row r="571" spans="1:13" ht="14.25" customHeight="1" x14ac:dyDescent="0.3">
      <c r="A571" s="48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64"/>
    </row>
    <row r="572" spans="1:13" ht="14.25" customHeight="1" x14ac:dyDescent="0.3">
      <c r="A572" s="48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64"/>
    </row>
    <row r="573" spans="1:13" ht="14.25" customHeight="1" x14ac:dyDescent="0.3">
      <c r="A573" s="48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64"/>
    </row>
    <row r="574" spans="1:13" ht="14.25" customHeight="1" x14ac:dyDescent="0.3">
      <c r="A574" s="48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64"/>
    </row>
    <row r="575" spans="1:13" ht="14.25" customHeight="1" x14ac:dyDescent="0.3">
      <c r="A575" s="48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64"/>
    </row>
    <row r="576" spans="1:13" ht="14.25" customHeight="1" x14ac:dyDescent="0.3">
      <c r="A576" s="48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64"/>
    </row>
    <row r="577" spans="1:13" ht="14.25" customHeight="1" x14ac:dyDescent="0.3">
      <c r="A577" s="48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64"/>
    </row>
    <row r="578" spans="1:13" ht="14.25" customHeight="1" x14ac:dyDescent="0.3">
      <c r="A578" s="48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64"/>
    </row>
    <row r="579" spans="1:13" ht="14.25" customHeight="1" x14ac:dyDescent="0.3">
      <c r="A579" s="48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64"/>
    </row>
    <row r="580" spans="1:13" ht="14.25" customHeight="1" x14ac:dyDescent="0.3">
      <c r="A580" s="48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64"/>
    </row>
    <row r="581" spans="1:13" ht="14.25" customHeight="1" x14ac:dyDescent="0.3">
      <c r="A581" s="48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64"/>
    </row>
    <row r="582" spans="1:13" ht="14.25" customHeight="1" x14ac:dyDescent="0.3">
      <c r="A582" s="48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64"/>
    </row>
    <row r="583" spans="1:13" ht="14.25" customHeight="1" x14ac:dyDescent="0.3">
      <c r="A583" s="48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64"/>
    </row>
    <row r="584" spans="1:13" ht="14.25" customHeight="1" x14ac:dyDescent="0.3">
      <c r="A584" s="48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64"/>
    </row>
    <row r="585" spans="1:13" ht="14.25" customHeight="1" x14ac:dyDescent="0.3">
      <c r="A585" s="48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64"/>
    </row>
    <row r="586" spans="1:13" ht="14.25" customHeight="1" x14ac:dyDescent="0.3">
      <c r="A586" s="48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64"/>
    </row>
    <row r="587" spans="1:13" ht="14.25" customHeight="1" x14ac:dyDescent="0.3">
      <c r="A587" s="48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64"/>
    </row>
    <row r="588" spans="1:13" ht="14.25" customHeight="1" x14ac:dyDescent="0.3">
      <c r="A588" s="48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64"/>
    </row>
    <row r="589" spans="1:13" ht="14.25" customHeight="1" x14ac:dyDescent="0.3">
      <c r="A589" s="48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64"/>
    </row>
    <row r="590" spans="1:13" ht="14.25" customHeight="1" x14ac:dyDescent="0.3">
      <c r="A590" s="48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64"/>
    </row>
    <row r="591" spans="1:13" ht="14.25" customHeight="1" x14ac:dyDescent="0.3">
      <c r="A591" s="48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64"/>
    </row>
    <row r="592" spans="1:13" ht="14.25" customHeight="1" x14ac:dyDescent="0.3">
      <c r="A592" s="48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64"/>
    </row>
    <row r="593" spans="1:13" ht="14.25" customHeight="1" x14ac:dyDescent="0.3">
      <c r="A593" s="48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64"/>
    </row>
    <row r="594" spans="1:13" ht="14.25" customHeight="1" x14ac:dyDescent="0.3">
      <c r="A594" s="48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64"/>
    </row>
    <row r="595" spans="1:13" ht="14.25" customHeight="1" x14ac:dyDescent="0.3">
      <c r="A595" s="48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64"/>
    </row>
    <row r="596" spans="1:13" ht="14.25" customHeight="1" x14ac:dyDescent="0.3">
      <c r="A596" s="48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64"/>
    </row>
    <row r="597" spans="1:13" ht="14.25" customHeight="1" x14ac:dyDescent="0.3">
      <c r="A597" s="48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64"/>
    </row>
    <row r="598" spans="1:13" ht="14.25" customHeight="1" x14ac:dyDescent="0.3">
      <c r="A598" s="48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64"/>
    </row>
    <row r="599" spans="1:13" ht="14.25" customHeight="1" x14ac:dyDescent="0.3">
      <c r="A599" s="48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64"/>
    </row>
    <row r="600" spans="1:13" ht="14.25" customHeight="1" x14ac:dyDescent="0.3">
      <c r="A600" s="48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64"/>
    </row>
    <row r="601" spans="1:13" ht="14.25" customHeight="1" x14ac:dyDescent="0.3">
      <c r="A601" s="48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64"/>
    </row>
    <row r="602" spans="1:13" ht="14.25" customHeight="1" x14ac:dyDescent="0.3">
      <c r="A602" s="48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64"/>
    </row>
    <row r="603" spans="1:13" ht="14.25" customHeight="1" x14ac:dyDescent="0.3">
      <c r="A603" s="48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64"/>
    </row>
    <row r="604" spans="1:13" ht="14.25" customHeight="1" x14ac:dyDescent="0.3">
      <c r="A604" s="48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64"/>
    </row>
    <row r="605" spans="1:13" ht="14.25" customHeight="1" x14ac:dyDescent="0.3">
      <c r="A605" s="48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64"/>
    </row>
    <row r="606" spans="1:13" ht="14.25" customHeight="1" x14ac:dyDescent="0.3">
      <c r="A606" s="48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64"/>
    </row>
    <row r="607" spans="1:13" ht="14.25" customHeight="1" x14ac:dyDescent="0.3">
      <c r="A607" s="48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64"/>
    </row>
    <row r="608" spans="1:13" ht="14.25" customHeight="1" x14ac:dyDescent="0.3">
      <c r="A608" s="48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64"/>
    </row>
    <row r="609" spans="1:13" ht="14.25" customHeight="1" x14ac:dyDescent="0.3">
      <c r="A609" s="48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64"/>
    </row>
    <row r="610" spans="1:13" ht="14.25" customHeight="1" x14ac:dyDescent="0.3">
      <c r="A610" s="48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64"/>
    </row>
    <row r="611" spans="1:13" ht="14.25" customHeight="1" x14ac:dyDescent="0.3">
      <c r="A611" s="48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64"/>
    </row>
    <row r="612" spans="1:13" ht="14.25" customHeight="1" x14ac:dyDescent="0.3">
      <c r="A612" s="48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64"/>
    </row>
    <row r="613" spans="1:13" ht="14.25" customHeight="1" x14ac:dyDescent="0.3">
      <c r="A613" s="48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64"/>
    </row>
    <row r="614" spans="1:13" ht="14.25" customHeight="1" x14ac:dyDescent="0.3">
      <c r="A614" s="48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64"/>
    </row>
    <row r="615" spans="1:13" ht="14.25" customHeight="1" x14ac:dyDescent="0.3">
      <c r="A615" s="48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64"/>
    </row>
    <row r="616" spans="1:13" ht="14.25" customHeight="1" x14ac:dyDescent="0.3">
      <c r="A616" s="48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64"/>
    </row>
    <row r="617" spans="1:13" ht="14.25" customHeight="1" x14ac:dyDescent="0.3">
      <c r="A617" s="48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64"/>
    </row>
    <row r="618" spans="1:13" ht="14.25" customHeight="1" x14ac:dyDescent="0.3">
      <c r="A618" s="48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64"/>
    </row>
    <row r="619" spans="1:13" ht="14.25" customHeight="1" x14ac:dyDescent="0.3">
      <c r="A619" s="48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64"/>
    </row>
    <row r="620" spans="1:13" ht="14.25" customHeight="1" x14ac:dyDescent="0.3">
      <c r="A620" s="48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64"/>
    </row>
    <row r="621" spans="1:13" ht="14.25" customHeight="1" x14ac:dyDescent="0.3">
      <c r="A621" s="48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64"/>
    </row>
    <row r="622" spans="1:13" ht="14.25" customHeight="1" x14ac:dyDescent="0.3">
      <c r="A622" s="48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64"/>
    </row>
    <row r="623" spans="1:13" ht="14.25" customHeight="1" x14ac:dyDescent="0.3">
      <c r="A623" s="48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64"/>
    </row>
    <row r="624" spans="1:13" ht="14.25" customHeight="1" x14ac:dyDescent="0.3">
      <c r="A624" s="48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64"/>
    </row>
    <row r="625" spans="1:13" ht="14.25" customHeight="1" x14ac:dyDescent="0.3">
      <c r="A625" s="48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64"/>
    </row>
    <row r="626" spans="1:13" ht="14.25" customHeight="1" x14ac:dyDescent="0.3">
      <c r="A626" s="48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64"/>
    </row>
    <row r="627" spans="1:13" ht="14.25" customHeight="1" x14ac:dyDescent="0.3">
      <c r="A627" s="48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64"/>
    </row>
    <row r="628" spans="1:13" ht="14.25" customHeight="1" x14ac:dyDescent="0.3">
      <c r="A628" s="48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64"/>
    </row>
    <row r="629" spans="1:13" ht="14.25" customHeight="1" x14ac:dyDescent="0.3">
      <c r="A629" s="48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64"/>
    </row>
    <row r="630" spans="1:13" ht="14.25" customHeight="1" x14ac:dyDescent="0.3">
      <c r="A630" s="48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64"/>
    </row>
    <row r="631" spans="1:13" ht="14.25" customHeight="1" x14ac:dyDescent="0.3">
      <c r="A631" s="48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64"/>
    </row>
    <row r="632" spans="1:13" ht="14.25" customHeight="1" x14ac:dyDescent="0.3">
      <c r="A632" s="48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64"/>
    </row>
    <row r="633" spans="1:13" ht="14.25" customHeight="1" x14ac:dyDescent="0.3">
      <c r="A633" s="48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64"/>
    </row>
    <row r="634" spans="1:13" ht="14.25" customHeight="1" x14ac:dyDescent="0.3">
      <c r="A634" s="48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64"/>
    </row>
    <row r="635" spans="1:13" ht="14.25" customHeight="1" x14ac:dyDescent="0.3">
      <c r="A635" s="48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64"/>
    </row>
    <row r="636" spans="1:13" ht="14.25" customHeight="1" x14ac:dyDescent="0.3">
      <c r="A636" s="48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64"/>
    </row>
    <row r="637" spans="1:13" ht="14.25" customHeight="1" x14ac:dyDescent="0.3">
      <c r="A637" s="48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64"/>
    </row>
    <row r="638" spans="1:13" ht="14.25" customHeight="1" x14ac:dyDescent="0.3">
      <c r="A638" s="48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64"/>
    </row>
    <row r="639" spans="1:13" ht="14.25" customHeight="1" x14ac:dyDescent="0.3">
      <c r="A639" s="48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64"/>
    </row>
    <row r="640" spans="1:13" ht="14.25" customHeight="1" x14ac:dyDescent="0.3">
      <c r="A640" s="48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64"/>
    </row>
    <row r="641" spans="1:13" ht="14.25" customHeight="1" x14ac:dyDescent="0.3">
      <c r="A641" s="48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64"/>
    </row>
    <row r="642" spans="1:13" ht="14.25" customHeight="1" x14ac:dyDescent="0.3">
      <c r="A642" s="48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64"/>
    </row>
    <row r="643" spans="1:13" ht="14.25" customHeight="1" x14ac:dyDescent="0.3">
      <c r="A643" s="48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64"/>
    </row>
    <row r="644" spans="1:13" ht="14.25" customHeight="1" x14ac:dyDescent="0.3">
      <c r="A644" s="48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64"/>
    </row>
    <row r="645" spans="1:13" ht="14.25" customHeight="1" x14ac:dyDescent="0.3">
      <c r="A645" s="48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64"/>
    </row>
    <row r="646" spans="1:13" ht="14.25" customHeight="1" x14ac:dyDescent="0.3">
      <c r="A646" s="48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64"/>
    </row>
    <row r="647" spans="1:13" ht="14.25" customHeight="1" x14ac:dyDescent="0.3">
      <c r="A647" s="48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64"/>
    </row>
    <row r="648" spans="1:13" ht="14.25" customHeight="1" x14ac:dyDescent="0.3">
      <c r="A648" s="48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64"/>
    </row>
    <row r="649" spans="1:13" ht="14.25" customHeight="1" x14ac:dyDescent="0.3">
      <c r="A649" s="48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64"/>
    </row>
    <row r="650" spans="1:13" ht="14.25" customHeight="1" x14ac:dyDescent="0.3">
      <c r="A650" s="48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64"/>
    </row>
    <row r="651" spans="1:13" ht="14.25" customHeight="1" x14ac:dyDescent="0.3">
      <c r="A651" s="48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64"/>
    </row>
    <row r="652" spans="1:13" ht="14.25" customHeight="1" x14ac:dyDescent="0.3">
      <c r="A652" s="48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64"/>
    </row>
    <row r="653" spans="1:13" ht="14.25" customHeight="1" x14ac:dyDescent="0.3">
      <c r="A653" s="48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64"/>
    </row>
    <row r="654" spans="1:13" ht="14.25" customHeight="1" x14ac:dyDescent="0.3">
      <c r="A654" s="48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64"/>
    </row>
    <row r="655" spans="1:13" ht="14.25" customHeight="1" x14ac:dyDescent="0.3">
      <c r="A655" s="48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64"/>
    </row>
    <row r="656" spans="1:13" ht="14.25" customHeight="1" x14ac:dyDescent="0.3">
      <c r="A656" s="48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64"/>
    </row>
    <row r="657" spans="1:13" ht="14.25" customHeight="1" x14ac:dyDescent="0.3">
      <c r="A657" s="48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64"/>
    </row>
    <row r="658" spans="1:13" ht="14.25" customHeight="1" x14ac:dyDescent="0.3">
      <c r="A658" s="48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64"/>
    </row>
    <row r="659" spans="1:13" ht="14.25" customHeight="1" x14ac:dyDescent="0.3">
      <c r="A659" s="48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64"/>
    </row>
    <row r="660" spans="1:13" ht="14.25" customHeight="1" x14ac:dyDescent="0.3">
      <c r="A660" s="48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64"/>
    </row>
    <row r="661" spans="1:13" ht="14.25" customHeight="1" x14ac:dyDescent="0.3">
      <c r="A661" s="48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64"/>
    </row>
    <row r="662" spans="1:13" ht="14.25" customHeight="1" x14ac:dyDescent="0.3">
      <c r="A662" s="48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64"/>
    </row>
    <row r="663" spans="1:13" ht="14.25" customHeight="1" x14ac:dyDescent="0.3">
      <c r="A663" s="48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64"/>
    </row>
    <row r="664" spans="1:13" ht="14.25" customHeight="1" x14ac:dyDescent="0.3">
      <c r="A664" s="48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64"/>
    </row>
    <row r="665" spans="1:13" ht="14.25" customHeight="1" x14ac:dyDescent="0.3">
      <c r="A665" s="48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64"/>
    </row>
    <row r="666" spans="1:13" ht="14.25" customHeight="1" x14ac:dyDescent="0.3">
      <c r="A666" s="48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64"/>
    </row>
    <row r="667" spans="1:13" ht="14.25" customHeight="1" x14ac:dyDescent="0.3">
      <c r="A667" s="48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64"/>
    </row>
    <row r="668" spans="1:13" ht="14.25" customHeight="1" x14ac:dyDescent="0.3">
      <c r="A668" s="48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64"/>
    </row>
    <row r="669" spans="1:13" ht="14.25" customHeight="1" x14ac:dyDescent="0.3">
      <c r="A669" s="48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64"/>
    </row>
    <row r="670" spans="1:13" ht="14.25" customHeight="1" x14ac:dyDescent="0.3">
      <c r="A670" s="48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64"/>
    </row>
    <row r="671" spans="1:13" ht="14.25" customHeight="1" x14ac:dyDescent="0.3">
      <c r="A671" s="48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64"/>
    </row>
    <row r="672" spans="1:13" ht="14.25" customHeight="1" x14ac:dyDescent="0.3">
      <c r="A672" s="48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64"/>
    </row>
    <row r="673" spans="1:13" ht="14.25" customHeight="1" x14ac:dyDescent="0.3">
      <c r="A673" s="48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64"/>
    </row>
    <row r="674" spans="1:13" ht="14.25" customHeight="1" x14ac:dyDescent="0.3">
      <c r="A674" s="48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64"/>
    </row>
    <row r="675" spans="1:13" ht="14.25" customHeight="1" x14ac:dyDescent="0.3">
      <c r="A675" s="48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64"/>
    </row>
    <row r="676" spans="1:13" ht="14.25" customHeight="1" x14ac:dyDescent="0.3">
      <c r="A676" s="48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64"/>
    </row>
    <row r="677" spans="1:13" ht="14.25" customHeight="1" x14ac:dyDescent="0.3">
      <c r="A677" s="48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64"/>
    </row>
    <row r="678" spans="1:13" ht="14.25" customHeight="1" x14ac:dyDescent="0.3">
      <c r="A678" s="48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64"/>
    </row>
    <row r="679" spans="1:13" ht="14.25" customHeight="1" x14ac:dyDescent="0.3">
      <c r="A679" s="48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64"/>
    </row>
    <row r="680" spans="1:13" ht="14.25" customHeight="1" x14ac:dyDescent="0.3">
      <c r="A680" s="48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64"/>
    </row>
    <row r="681" spans="1:13" ht="14.25" customHeight="1" x14ac:dyDescent="0.3">
      <c r="A681" s="48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64"/>
    </row>
    <row r="682" spans="1:13" ht="14.25" customHeight="1" x14ac:dyDescent="0.3">
      <c r="A682" s="48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64"/>
    </row>
    <row r="683" spans="1:13" ht="14.25" customHeight="1" x14ac:dyDescent="0.3">
      <c r="A683" s="48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64"/>
    </row>
    <row r="684" spans="1:13" ht="14.25" customHeight="1" x14ac:dyDescent="0.3">
      <c r="A684" s="48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64"/>
    </row>
    <row r="685" spans="1:13" ht="14.25" customHeight="1" x14ac:dyDescent="0.3">
      <c r="A685" s="48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64"/>
    </row>
    <row r="686" spans="1:13" ht="14.25" customHeight="1" x14ac:dyDescent="0.3">
      <c r="A686" s="48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64"/>
    </row>
    <row r="687" spans="1:13" ht="14.25" customHeight="1" x14ac:dyDescent="0.3">
      <c r="A687" s="48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64"/>
    </row>
    <row r="688" spans="1:13" ht="14.25" customHeight="1" x14ac:dyDescent="0.3">
      <c r="A688" s="48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64"/>
    </row>
    <row r="689" spans="1:13" ht="14.25" customHeight="1" x14ac:dyDescent="0.3">
      <c r="A689" s="48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64"/>
    </row>
    <row r="690" spans="1:13" ht="14.25" customHeight="1" x14ac:dyDescent="0.3">
      <c r="A690" s="48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64"/>
    </row>
    <row r="691" spans="1:13" ht="14.25" customHeight="1" x14ac:dyDescent="0.3">
      <c r="A691" s="48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64"/>
    </row>
    <row r="692" spans="1:13" ht="14.25" customHeight="1" x14ac:dyDescent="0.3">
      <c r="A692" s="48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64"/>
    </row>
    <row r="693" spans="1:13" ht="14.25" customHeight="1" x14ac:dyDescent="0.3">
      <c r="A693" s="48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64"/>
    </row>
    <row r="694" spans="1:13" ht="14.25" customHeight="1" x14ac:dyDescent="0.3">
      <c r="A694" s="48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64"/>
    </row>
    <row r="695" spans="1:13" ht="14.25" customHeight="1" x14ac:dyDescent="0.3">
      <c r="A695" s="48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64"/>
    </row>
    <row r="696" spans="1:13" ht="14.25" customHeight="1" x14ac:dyDescent="0.3">
      <c r="A696" s="48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64"/>
    </row>
    <row r="697" spans="1:13" ht="14.25" customHeight="1" x14ac:dyDescent="0.3">
      <c r="A697" s="48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64"/>
    </row>
    <row r="698" spans="1:13" ht="14.25" customHeight="1" x14ac:dyDescent="0.3">
      <c r="A698" s="48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64"/>
    </row>
    <row r="699" spans="1:13" ht="14.25" customHeight="1" x14ac:dyDescent="0.3">
      <c r="A699" s="48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64"/>
    </row>
    <row r="700" spans="1:13" ht="14.25" customHeight="1" x14ac:dyDescent="0.3">
      <c r="A700" s="48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64"/>
    </row>
    <row r="701" spans="1:13" ht="14.25" customHeight="1" x14ac:dyDescent="0.3">
      <c r="A701" s="48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64"/>
    </row>
    <row r="702" spans="1:13" ht="14.25" customHeight="1" x14ac:dyDescent="0.3">
      <c r="A702" s="48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64"/>
    </row>
    <row r="703" spans="1:13" ht="14.25" customHeight="1" x14ac:dyDescent="0.3">
      <c r="A703" s="48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64"/>
    </row>
    <row r="704" spans="1:13" ht="14.25" customHeight="1" x14ac:dyDescent="0.3">
      <c r="A704" s="48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64"/>
    </row>
    <row r="705" spans="1:13" ht="14.25" customHeight="1" x14ac:dyDescent="0.3">
      <c r="A705" s="48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64"/>
    </row>
    <row r="706" spans="1:13" ht="14.25" customHeight="1" x14ac:dyDescent="0.3">
      <c r="A706" s="48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64"/>
    </row>
    <row r="707" spans="1:13" ht="14.25" customHeight="1" x14ac:dyDescent="0.3">
      <c r="A707" s="48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64"/>
    </row>
    <row r="708" spans="1:13" ht="14.25" customHeight="1" x14ac:dyDescent="0.3">
      <c r="A708" s="48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64"/>
    </row>
    <row r="709" spans="1:13" ht="14.25" customHeight="1" x14ac:dyDescent="0.3">
      <c r="A709" s="48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64"/>
    </row>
    <row r="710" spans="1:13" ht="14.25" customHeight="1" x14ac:dyDescent="0.3">
      <c r="A710" s="48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64"/>
    </row>
    <row r="711" spans="1:13" ht="14.25" customHeight="1" x14ac:dyDescent="0.3">
      <c r="A711" s="48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64"/>
    </row>
    <row r="712" spans="1:13" ht="14.25" customHeight="1" x14ac:dyDescent="0.3">
      <c r="A712" s="48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64"/>
    </row>
    <row r="713" spans="1:13" ht="14.25" customHeight="1" x14ac:dyDescent="0.3">
      <c r="A713" s="48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64"/>
    </row>
    <row r="714" spans="1:13" ht="14.25" customHeight="1" x14ac:dyDescent="0.3">
      <c r="A714" s="48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64"/>
    </row>
    <row r="715" spans="1:13" ht="14.25" customHeight="1" x14ac:dyDescent="0.3">
      <c r="A715" s="48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64"/>
    </row>
    <row r="716" spans="1:13" ht="14.25" customHeight="1" x14ac:dyDescent="0.3">
      <c r="A716" s="48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64"/>
    </row>
    <row r="717" spans="1:13" ht="14.25" customHeight="1" x14ac:dyDescent="0.3">
      <c r="A717" s="48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64"/>
    </row>
    <row r="718" spans="1:13" ht="14.25" customHeight="1" x14ac:dyDescent="0.3">
      <c r="A718" s="48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64"/>
    </row>
    <row r="719" spans="1:13" ht="14.25" customHeight="1" x14ac:dyDescent="0.3">
      <c r="A719" s="48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64"/>
    </row>
    <row r="720" spans="1:13" ht="14.25" customHeight="1" x14ac:dyDescent="0.3">
      <c r="A720" s="48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64"/>
    </row>
    <row r="721" spans="1:13" ht="14.25" customHeight="1" x14ac:dyDescent="0.3">
      <c r="A721" s="48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64"/>
    </row>
    <row r="722" spans="1:13" ht="14.25" customHeight="1" x14ac:dyDescent="0.3">
      <c r="A722" s="48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64"/>
    </row>
    <row r="723" spans="1:13" ht="14.25" customHeight="1" x14ac:dyDescent="0.3">
      <c r="A723" s="48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64"/>
    </row>
    <row r="724" spans="1:13" ht="14.25" customHeight="1" x14ac:dyDescent="0.3">
      <c r="A724" s="48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64"/>
    </row>
    <row r="725" spans="1:13" ht="14.25" customHeight="1" x14ac:dyDescent="0.3">
      <c r="A725" s="48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64"/>
    </row>
    <row r="726" spans="1:13" ht="14.25" customHeight="1" x14ac:dyDescent="0.3">
      <c r="A726" s="48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64"/>
    </row>
    <row r="727" spans="1:13" ht="14.25" customHeight="1" x14ac:dyDescent="0.3">
      <c r="A727" s="48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64"/>
    </row>
    <row r="728" spans="1:13" ht="14.25" customHeight="1" x14ac:dyDescent="0.3">
      <c r="A728" s="48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64"/>
    </row>
    <row r="729" spans="1:13" ht="14.25" customHeight="1" x14ac:dyDescent="0.3">
      <c r="A729" s="48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64"/>
    </row>
    <row r="730" spans="1:13" ht="14.25" customHeight="1" x14ac:dyDescent="0.3">
      <c r="A730" s="48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64"/>
    </row>
    <row r="731" spans="1:13" ht="14.25" customHeight="1" x14ac:dyDescent="0.3">
      <c r="A731" s="48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64"/>
    </row>
    <row r="732" spans="1:13" ht="14.25" customHeight="1" x14ac:dyDescent="0.3">
      <c r="A732" s="48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64"/>
    </row>
    <row r="733" spans="1:13" ht="14.25" customHeight="1" x14ac:dyDescent="0.3">
      <c r="A733" s="48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64"/>
    </row>
    <row r="734" spans="1:13" ht="14.25" customHeight="1" x14ac:dyDescent="0.3">
      <c r="A734" s="48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64"/>
    </row>
    <row r="735" spans="1:13" ht="14.25" customHeight="1" x14ac:dyDescent="0.3">
      <c r="A735" s="48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64"/>
    </row>
    <row r="736" spans="1:13" ht="14.25" customHeight="1" x14ac:dyDescent="0.3">
      <c r="A736" s="48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64"/>
    </row>
    <row r="737" spans="1:13" ht="14.25" customHeight="1" x14ac:dyDescent="0.3">
      <c r="A737" s="48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64"/>
    </row>
    <row r="738" spans="1:13" ht="14.25" customHeight="1" x14ac:dyDescent="0.3">
      <c r="A738" s="48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64"/>
    </row>
    <row r="739" spans="1:13" ht="14.25" customHeight="1" x14ac:dyDescent="0.3">
      <c r="A739" s="48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64"/>
    </row>
    <row r="740" spans="1:13" ht="14.25" customHeight="1" x14ac:dyDescent="0.3">
      <c r="A740" s="48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64"/>
    </row>
    <row r="741" spans="1:13" ht="14.25" customHeight="1" x14ac:dyDescent="0.3">
      <c r="A741" s="48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64"/>
    </row>
    <row r="742" spans="1:13" ht="14.25" customHeight="1" x14ac:dyDescent="0.3">
      <c r="A742" s="48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64"/>
    </row>
    <row r="743" spans="1:13" ht="14.25" customHeight="1" x14ac:dyDescent="0.3">
      <c r="A743" s="48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64"/>
    </row>
    <row r="744" spans="1:13" ht="14.25" customHeight="1" x14ac:dyDescent="0.3">
      <c r="A744" s="48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64"/>
    </row>
    <row r="745" spans="1:13" ht="14.25" customHeight="1" x14ac:dyDescent="0.3">
      <c r="A745" s="48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64"/>
    </row>
    <row r="746" spans="1:13" ht="14.25" customHeight="1" x14ac:dyDescent="0.3">
      <c r="A746" s="48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64"/>
    </row>
    <row r="747" spans="1:13" ht="14.25" customHeight="1" x14ac:dyDescent="0.3">
      <c r="A747" s="48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64"/>
    </row>
    <row r="748" spans="1:13" ht="14.25" customHeight="1" x14ac:dyDescent="0.3">
      <c r="A748" s="48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64"/>
    </row>
    <row r="749" spans="1:13" ht="14.25" customHeight="1" x14ac:dyDescent="0.3">
      <c r="A749" s="48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64"/>
    </row>
    <row r="750" spans="1:13" ht="14.25" customHeight="1" x14ac:dyDescent="0.3">
      <c r="A750" s="48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64"/>
    </row>
    <row r="751" spans="1:13" ht="14.25" customHeight="1" x14ac:dyDescent="0.3">
      <c r="A751" s="48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64"/>
    </row>
    <row r="752" spans="1:13" ht="14.25" customHeight="1" x14ac:dyDescent="0.3">
      <c r="A752" s="48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64"/>
    </row>
    <row r="753" spans="1:13" ht="14.25" customHeight="1" x14ac:dyDescent="0.3">
      <c r="A753" s="48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64"/>
    </row>
    <row r="754" spans="1:13" ht="14.25" customHeight="1" x14ac:dyDescent="0.3">
      <c r="A754" s="48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64"/>
    </row>
    <row r="755" spans="1:13" ht="14.25" customHeight="1" x14ac:dyDescent="0.3">
      <c r="A755" s="48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64"/>
    </row>
    <row r="756" spans="1:13" ht="14.25" customHeight="1" x14ac:dyDescent="0.3">
      <c r="A756" s="48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64"/>
    </row>
    <row r="757" spans="1:13" ht="14.25" customHeight="1" x14ac:dyDescent="0.3">
      <c r="A757" s="48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64"/>
    </row>
    <row r="758" spans="1:13" ht="14.25" customHeight="1" x14ac:dyDescent="0.3">
      <c r="A758" s="48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64"/>
    </row>
    <row r="759" spans="1:13" ht="14.25" customHeight="1" x14ac:dyDescent="0.3">
      <c r="A759" s="48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64"/>
    </row>
    <row r="760" spans="1:13" ht="14.25" customHeight="1" x14ac:dyDescent="0.3">
      <c r="A760" s="48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64"/>
    </row>
    <row r="761" spans="1:13" ht="14.25" customHeight="1" x14ac:dyDescent="0.3">
      <c r="A761" s="48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64"/>
    </row>
    <row r="762" spans="1:13" ht="14.25" customHeight="1" x14ac:dyDescent="0.3">
      <c r="A762" s="48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64"/>
    </row>
    <row r="763" spans="1:13" ht="14.25" customHeight="1" x14ac:dyDescent="0.3">
      <c r="A763" s="48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64"/>
    </row>
    <row r="764" spans="1:13" ht="14.25" customHeight="1" x14ac:dyDescent="0.3">
      <c r="A764" s="48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64"/>
    </row>
    <row r="765" spans="1:13" ht="14.25" customHeight="1" x14ac:dyDescent="0.3">
      <c r="A765" s="48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64"/>
    </row>
    <row r="766" spans="1:13" ht="14.25" customHeight="1" x14ac:dyDescent="0.3">
      <c r="A766" s="48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64"/>
    </row>
    <row r="767" spans="1:13" ht="14.25" customHeight="1" x14ac:dyDescent="0.3">
      <c r="A767" s="48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64"/>
    </row>
    <row r="768" spans="1:13" ht="14.25" customHeight="1" x14ac:dyDescent="0.3">
      <c r="A768" s="48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64"/>
    </row>
    <row r="769" spans="1:13" ht="14.25" customHeight="1" x14ac:dyDescent="0.3">
      <c r="A769" s="48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64"/>
    </row>
    <row r="770" spans="1:13" ht="14.25" customHeight="1" x14ac:dyDescent="0.3">
      <c r="A770" s="48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64"/>
    </row>
    <row r="771" spans="1:13" ht="14.25" customHeight="1" x14ac:dyDescent="0.3">
      <c r="A771" s="48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64"/>
    </row>
    <row r="772" spans="1:13" ht="14.25" customHeight="1" x14ac:dyDescent="0.3">
      <c r="A772" s="48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64"/>
    </row>
    <row r="773" spans="1:13" ht="14.25" customHeight="1" x14ac:dyDescent="0.3">
      <c r="A773" s="48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64"/>
    </row>
    <row r="774" spans="1:13" ht="14.25" customHeight="1" x14ac:dyDescent="0.3">
      <c r="A774" s="48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64"/>
    </row>
    <row r="775" spans="1:13" ht="14.25" customHeight="1" x14ac:dyDescent="0.3">
      <c r="A775" s="48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64"/>
    </row>
    <row r="776" spans="1:13" ht="14.25" customHeight="1" x14ac:dyDescent="0.3">
      <c r="A776" s="48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64"/>
    </row>
    <row r="777" spans="1:13" ht="14.25" customHeight="1" x14ac:dyDescent="0.3">
      <c r="A777" s="48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64"/>
    </row>
    <row r="778" spans="1:13" ht="14.25" customHeight="1" x14ac:dyDescent="0.3">
      <c r="A778" s="48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64"/>
    </row>
    <row r="779" spans="1:13" ht="14.25" customHeight="1" x14ac:dyDescent="0.3">
      <c r="A779" s="48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64"/>
    </row>
    <row r="780" spans="1:13" ht="14.25" customHeight="1" x14ac:dyDescent="0.3">
      <c r="A780" s="48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64"/>
    </row>
    <row r="781" spans="1:13" ht="14.25" customHeight="1" x14ac:dyDescent="0.3">
      <c r="A781" s="48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64"/>
    </row>
    <row r="782" spans="1:13" ht="14.25" customHeight="1" x14ac:dyDescent="0.3">
      <c r="A782" s="48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64"/>
    </row>
    <row r="783" spans="1:13" ht="14.25" customHeight="1" x14ac:dyDescent="0.3">
      <c r="A783" s="48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64"/>
    </row>
    <row r="784" spans="1:13" ht="14.25" customHeight="1" x14ac:dyDescent="0.3">
      <c r="A784" s="48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64"/>
    </row>
    <row r="785" spans="1:13" ht="14.25" customHeight="1" x14ac:dyDescent="0.3">
      <c r="A785" s="48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64"/>
    </row>
    <row r="786" spans="1:13" ht="14.25" customHeight="1" x14ac:dyDescent="0.3">
      <c r="A786" s="48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64"/>
    </row>
    <row r="787" spans="1:13" ht="14.25" customHeight="1" x14ac:dyDescent="0.3">
      <c r="A787" s="48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64"/>
    </row>
    <row r="788" spans="1:13" ht="14.25" customHeight="1" x14ac:dyDescent="0.3">
      <c r="A788" s="48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64"/>
    </row>
    <row r="789" spans="1:13" ht="14.25" customHeight="1" x14ac:dyDescent="0.3">
      <c r="A789" s="48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64"/>
    </row>
    <row r="790" spans="1:13" ht="14.25" customHeight="1" x14ac:dyDescent="0.3">
      <c r="A790" s="48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64"/>
    </row>
    <row r="791" spans="1:13" ht="14.25" customHeight="1" x14ac:dyDescent="0.3">
      <c r="A791" s="48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64"/>
    </row>
    <row r="792" spans="1:13" ht="14.25" customHeight="1" x14ac:dyDescent="0.3">
      <c r="A792" s="48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64"/>
    </row>
    <row r="793" spans="1:13" ht="14.25" customHeight="1" x14ac:dyDescent="0.3">
      <c r="A793" s="48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64"/>
    </row>
    <row r="794" spans="1:13" ht="14.25" customHeight="1" x14ac:dyDescent="0.3">
      <c r="A794" s="48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64"/>
    </row>
    <row r="795" spans="1:13" ht="14.25" customHeight="1" x14ac:dyDescent="0.3">
      <c r="A795" s="48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64"/>
    </row>
    <row r="796" spans="1:13" ht="14.25" customHeight="1" x14ac:dyDescent="0.3">
      <c r="A796" s="48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64"/>
    </row>
    <row r="797" spans="1:13" ht="14.25" customHeight="1" x14ac:dyDescent="0.3">
      <c r="A797" s="48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64"/>
    </row>
    <row r="798" spans="1:13" ht="14.25" customHeight="1" x14ac:dyDescent="0.3">
      <c r="A798" s="48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64"/>
    </row>
    <row r="799" spans="1:13" ht="14.25" customHeight="1" x14ac:dyDescent="0.3">
      <c r="A799" s="48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64"/>
    </row>
    <row r="800" spans="1:13" ht="14.25" customHeight="1" x14ac:dyDescent="0.3">
      <c r="A800" s="48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64"/>
    </row>
    <row r="801" spans="1:13" ht="14.25" customHeight="1" x14ac:dyDescent="0.3">
      <c r="A801" s="48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64"/>
    </row>
    <row r="802" spans="1:13" ht="14.25" customHeight="1" x14ac:dyDescent="0.3">
      <c r="A802" s="48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64"/>
    </row>
    <row r="803" spans="1:13" ht="14.25" customHeight="1" x14ac:dyDescent="0.3">
      <c r="A803" s="48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64"/>
    </row>
    <row r="804" spans="1:13" ht="14.25" customHeight="1" x14ac:dyDescent="0.3">
      <c r="A804" s="48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64"/>
    </row>
    <row r="805" spans="1:13" ht="14.25" customHeight="1" x14ac:dyDescent="0.3">
      <c r="A805" s="48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64"/>
    </row>
    <row r="806" spans="1:13" ht="14.25" customHeight="1" x14ac:dyDescent="0.3">
      <c r="A806" s="48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64"/>
    </row>
    <row r="807" spans="1:13" ht="14.25" customHeight="1" x14ac:dyDescent="0.3">
      <c r="A807" s="48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64"/>
    </row>
    <row r="808" spans="1:13" ht="14.25" customHeight="1" x14ac:dyDescent="0.3">
      <c r="A808" s="48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64"/>
    </row>
    <row r="809" spans="1:13" ht="14.25" customHeight="1" x14ac:dyDescent="0.3">
      <c r="A809" s="48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64"/>
    </row>
    <row r="810" spans="1:13" ht="14.25" customHeight="1" x14ac:dyDescent="0.3">
      <c r="A810" s="48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64"/>
    </row>
    <row r="811" spans="1:13" ht="14.25" customHeight="1" x14ac:dyDescent="0.3">
      <c r="A811" s="48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64"/>
    </row>
    <row r="812" spans="1:13" ht="14.25" customHeight="1" x14ac:dyDescent="0.3">
      <c r="A812" s="48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64"/>
    </row>
    <row r="813" spans="1:13" ht="14.25" customHeight="1" x14ac:dyDescent="0.3">
      <c r="A813" s="48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64"/>
    </row>
    <row r="814" spans="1:13" ht="14.25" customHeight="1" x14ac:dyDescent="0.3">
      <c r="A814" s="48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64"/>
    </row>
    <row r="815" spans="1:13" ht="14.25" customHeight="1" x14ac:dyDescent="0.3">
      <c r="A815" s="48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64"/>
    </row>
    <row r="816" spans="1:13" ht="14.25" customHeight="1" x14ac:dyDescent="0.3">
      <c r="A816" s="48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64"/>
    </row>
    <row r="817" spans="1:13" ht="14.25" customHeight="1" x14ac:dyDescent="0.3">
      <c r="A817" s="48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64"/>
    </row>
    <row r="818" spans="1:13" ht="14.25" customHeight="1" x14ac:dyDescent="0.3">
      <c r="A818" s="48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64"/>
    </row>
    <row r="819" spans="1:13" ht="14.25" customHeight="1" x14ac:dyDescent="0.3">
      <c r="A819" s="48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64"/>
    </row>
    <row r="820" spans="1:13" ht="14.25" customHeight="1" x14ac:dyDescent="0.3">
      <c r="A820" s="48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64"/>
    </row>
    <row r="821" spans="1:13" ht="14.25" customHeight="1" x14ac:dyDescent="0.3">
      <c r="A821" s="48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64"/>
    </row>
    <row r="822" spans="1:13" ht="14.25" customHeight="1" x14ac:dyDescent="0.3">
      <c r="A822" s="48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64"/>
    </row>
    <row r="823" spans="1:13" ht="14.25" customHeight="1" x14ac:dyDescent="0.3">
      <c r="A823" s="48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64"/>
    </row>
    <row r="824" spans="1:13" ht="14.25" customHeight="1" x14ac:dyDescent="0.3">
      <c r="A824" s="48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64"/>
    </row>
    <row r="825" spans="1:13" ht="14.25" customHeight="1" x14ac:dyDescent="0.3">
      <c r="A825" s="48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64"/>
    </row>
    <row r="826" spans="1:13" ht="14.25" customHeight="1" x14ac:dyDescent="0.3">
      <c r="A826" s="48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64"/>
    </row>
    <row r="827" spans="1:13" ht="14.25" customHeight="1" x14ac:dyDescent="0.3">
      <c r="A827" s="48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64"/>
    </row>
    <row r="828" spans="1:13" ht="14.25" customHeight="1" x14ac:dyDescent="0.3">
      <c r="A828" s="48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64"/>
    </row>
    <row r="829" spans="1:13" ht="14.25" customHeight="1" x14ac:dyDescent="0.3">
      <c r="A829" s="48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64"/>
    </row>
    <row r="830" spans="1:13" ht="14.25" customHeight="1" x14ac:dyDescent="0.3">
      <c r="A830" s="48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64"/>
    </row>
    <row r="831" spans="1:13" ht="14.25" customHeight="1" x14ac:dyDescent="0.3">
      <c r="A831" s="48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64"/>
    </row>
    <row r="832" spans="1:13" ht="14.25" customHeight="1" x14ac:dyDescent="0.3">
      <c r="A832" s="48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64"/>
    </row>
    <row r="833" spans="1:13" ht="14.25" customHeight="1" x14ac:dyDescent="0.3">
      <c r="A833" s="48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64"/>
    </row>
    <row r="834" spans="1:13" ht="14.25" customHeight="1" x14ac:dyDescent="0.3">
      <c r="A834" s="48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64"/>
    </row>
    <row r="835" spans="1:13" ht="14.25" customHeight="1" x14ac:dyDescent="0.3">
      <c r="A835" s="48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64"/>
    </row>
    <row r="836" spans="1:13" ht="14.25" customHeight="1" x14ac:dyDescent="0.3">
      <c r="A836" s="48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64"/>
    </row>
    <row r="837" spans="1:13" ht="14.25" customHeight="1" x14ac:dyDescent="0.3">
      <c r="A837" s="48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64"/>
    </row>
    <row r="838" spans="1:13" ht="14.25" customHeight="1" x14ac:dyDescent="0.3">
      <c r="A838" s="48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64"/>
    </row>
    <row r="839" spans="1:13" ht="14.25" customHeight="1" x14ac:dyDescent="0.3">
      <c r="A839" s="48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64"/>
    </row>
    <row r="840" spans="1:13" ht="14.25" customHeight="1" x14ac:dyDescent="0.3">
      <c r="A840" s="48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64"/>
    </row>
    <row r="841" spans="1:13" ht="14.25" customHeight="1" x14ac:dyDescent="0.3">
      <c r="A841" s="48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64"/>
    </row>
    <row r="842" spans="1:13" ht="14.25" customHeight="1" x14ac:dyDescent="0.3">
      <c r="A842" s="48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64"/>
    </row>
    <row r="843" spans="1:13" ht="14.25" customHeight="1" x14ac:dyDescent="0.3">
      <c r="A843" s="48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64"/>
    </row>
    <row r="844" spans="1:13" ht="14.25" customHeight="1" x14ac:dyDescent="0.3">
      <c r="A844" s="48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64"/>
    </row>
    <row r="845" spans="1:13" ht="14.25" customHeight="1" x14ac:dyDescent="0.3">
      <c r="A845" s="48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64"/>
    </row>
    <row r="846" spans="1:13" ht="14.25" customHeight="1" x14ac:dyDescent="0.3">
      <c r="A846" s="48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64"/>
    </row>
    <row r="847" spans="1:13" ht="14.25" customHeight="1" x14ac:dyDescent="0.3">
      <c r="A847" s="48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64"/>
    </row>
    <row r="848" spans="1:13" ht="14.25" customHeight="1" x14ac:dyDescent="0.3">
      <c r="A848" s="48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64"/>
    </row>
    <row r="849" spans="1:13" ht="14.25" customHeight="1" x14ac:dyDescent="0.3">
      <c r="A849" s="48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64"/>
    </row>
    <row r="850" spans="1:13" ht="14.25" customHeight="1" x14ac:dyDescent="0.3">
      <c r="A850" s="48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64"/>
    </row>
    <row r="851" spans="1:13" ht="14.25" customHeight="1" x14ac:dyDescent="0.3">
      <c r="A851" s="48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64"/>
    </row>
    <row r="852" spans="1:13" ht="14.25" customHeight="1" x14ac:dyDescent="0.3">
      <c r="A852" s="48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64"/>
    </row>
    <row r="853" spans="1:13" ht="14.25" customHeight="1" x14ac:dyDescent="0.3">
      <c r="A853" s="48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64"/>
    </row>
    <row r="854" spans="1:13" ht="14.25" customHeight="1" x14ac:dyDescent="0.3">
      <c r="A854" s="48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64"/>
    </row>
    <row r="855" spans="1:13" ht="14.25" customHeight="1" x14ac:dyDescent="0.3">
      <c r="A855" s="48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64"/>
    </row>
    <row r="856" spans="1:13" ht="14.25" customHeight="1" x14ac:dyDescent="0.3">
      <c r="A856" s="48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64"/>
    </row>
    <row r="857" spans="1:13" ht="14.25" customHeight="1" x14ac:dyDescent="0.3">
      <c r="A857" s="48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64"/>
    </row>
    <row r="858" spans="1:13" ht="14.25" customHeight="1" x14ac:dyDescent="0.3">
      <c r="A858" s="48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64"/>
    </row>
    <row r="859" spans="1:13" ht="14.25" customHeight="1" x14ac:dyDescent="0.3">
      <c r="A859" s="48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64"/>
    </row>
    <row r="860" spans="1:13" ht="14.25" customHeight="1" x14ac:dyDescent="0.3">
      <c r="A860" s="48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64"/>
    </row>
    <row r="861" spans="1:13" ht="14.25" customHeight="1" x14ac:dyDescent="0.3">
      <c r="A861" s="48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64"/>
    </row>
    <row r="862" spans="1:13" ht="14.25" customHeight="1" x14ac:dyDescent="0.3">
      <c r="A862" s="48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64"/>
    </row>
    <row r="863" spans="1:13" ht="14.25" customHeight="1" x14ac:dyDescent="0.3">
      <c r="A863" s="48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64"/>
    </row>
    <row r="864" spans="1:13" ht="14.25" customHeight="1" x14ac:dyDescent="0.3">
      <c r="A864" s="48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64"/>
    </row>
    <row r="865" spans="1:13" ht="14.25" customHeight="1" x14ac:dyDescent="0.3">
      <c r="A865" s="48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64"/>
    </row>
    <row r="866" spans="1:13" ht="14.25" customHeight="1" x14ac:dyDescent="0.3">
      <c r="A866" s="48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64"/>
    </row>
    <row r="867" spans="1:13" ht="14.25" customHeight="1" x14ac:dyDescent="0.3">
      <c r="A867" s="48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64"/>
    </row>
    <row r="868" spans="1:13" ht="14.25" customHeight="1" x14ac:dyDescent="0.3">
      <c r="A868" s="48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64"/>
    </row>
    <row r="869" spans="1:13" ht="14.25" customHeight="1" x14ac:dyDescent="0.3">
      <c r="A869" s="48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64"/>
    </row>
    <row r="870" spans="1:13" ht="14.25" customHeight="1" x14ac:dyDescent="0.3">
      <c r="A870" s="48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64"/>
    </row>
    <row r="871" spans="1:13" ht="14.25" customHeight="1" x14ac:dyDescent="0.3">
      <c r="A871" s="48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64"/>
    </row>
    <row r="872" spans="1:13" ht="14.25" customHeight="1" x14ac:dyDescent="0.3">
      <c r="A872" s="48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64"/>
    </row>
    <row r="873" spans="1:13" ht="14.25" customHeight="1" x14ac:dyDescent="0.3">
      <c r="A873" s="48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64"/>
    </row>
    <row r="874" spans="1:13" ht="14.25" customHeight="1" x14ac:dyDescent="0.3">
      <c r="A874" s="48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64"/>
    </row>
    <row r="875" spans="1:13" ht="14.25" customHeight="1" x14ac:dyDescent="0.3">
      <c r="A875" s="48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64"/>
    </row>
    <row r="876" spans="1:13" ht="14.25" customHeight="1" x14ac:dyDescent="0.3">
      <c r="A876" s="48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64"/>
    </row>
    <row r="877" spans="1:13" ht="14.25" customHeight="1" x14ac:dyDescent="0.3">
      <c r="A877" s="48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64"/>
    </row>
    <row r="878" spans="1:13" ht="14.25" customHeight="1" x14ac:dyDescent="0.3">
      <c r="A878" s="48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64"/>
    </row>
    <row r="879" spans="1:13" ht="14.25" customHeight="1" x14ac:dyDescent="0.3">
      <c r="A879" s="48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64"/>
    </row>
    <row r="880" spans="1:13" ht="14.25" customHeight="1" x14ac:dyDescent="0.3">
      <c r="A880" s="48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64"/>
    </row>
    <row r="881" spans="1:13" ht="14.25" customHeight="1" x14ac:dyDescent="0.3">
      <c r="A881" s="48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64"/>
    </row>
    <row r="882" spans="1:13" ht="14.25" customHeight="1" x14ac:dyDescent="0.3">
      <c r="A882" s="48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64"/>
    </row>
    <row r="883" spans="1:13" ht="14.25" customHeight="1" x14ac:dyDescent="0.3">
      <c r="A883" s="48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64"/>
    </row>
    <row r="884" spans="1:13" ht="14.25" customHeight="1" x14ac:dyDescent="0.3">
      <c r="A884" s="48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64"/>
    </row>
    <row r="885" spans="1:13" ht="14.25" customHeight="1" x14ac:dyDescent="0.3">
      <c r="A885" s="48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64"/>
    </row>
    <row r="886" spans="1:13" ht="14.25" customHeight="1" x14ac:dyDescent="0.3">
      <c r="A886" s="48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64"/>
    </row>
    <row r="887" spans="1:13" ht="14.25" customHeight="1" x14ac:dyDescent="0.3">
      <c r="A887" s="48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64"/>
    </row>
    <row r="888" spans="1:13" ht="14.25" customHeight="1" x14ac:dyDescent="0.3">
      <c r="A888" s="48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64"/>
    </row>
    <row r="889" spans="1:13" ht="14.25" customHeight="1" x14ac:dyDescent="0.3">
      <c r="A889" s="48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64"/>
    </row>
    <row r="890" spans="1:13" ht="14.25" customHeight="1" x14ac:dyDescent="0.3">
      <c r="A890" s="48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64"/>
    </row>
    <row r="891" spans="1:13" ht="14.25" customHeight="1" x14ac:dyDescent="0.3">
      <c r="A891" s="48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64"/>
    </row>
    <row r="892" spans="1:13" ht="14.25" customHeight="1" x14ac:dyDescent="0.3">
      <c r="A892" s="48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64"/>
    </row>
    <row r="893" spans="1:13" ht="14.25" customHeight="1" x14ac:dyDescent="0.3">
      <c r="A893" s="48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64"/>
    </row>
    <row r="894" spans="1:13" ht="14.25" customHeight="1" x14ac:dyDescent="0.3">
      <c r="A894" s="48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64"/>
    </row>
    <row r="895" spans="1:13" ht="14.25" customHeight="1" x14ac:dyDescent="0.3">
      <c r="A895" s="48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64"/>
    </row>
    <row r="896" spans="1:13" ht="14.25" customHeight="1" x14ac:dyDescent="0.3">
      <c r="A896" s="48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64"/>
    </row>
    <row r="897" spans="1:13" ht="14.25" customHeight="1" x14ac:dyDescent="0.3">
      <c r="A897" s="48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64"/>
    </row>
    <row r="898" spans="1:13" ht="14.25" customHeight="1" x14ac:dyDescent="0.3">
      <c r="A898" s="48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64"/>
    </row>
    <row r="899" spans="1:13" ht="14.25" customHeight="1" x14ac:dyDescent="0.3">
      <c r="A899" s="48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64"/>
    </row>
    <row r="900" spans="1:13" ht="14.25" customHeight="1" x14ac:dyDescent="0.3">
      <c r="A900" s="48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64"/>
    </row>
    <row r="901" spans="1:13" ht="14.25" customHeight="1" x14ac:dyDescent="0.3">
      <c r="A901" s="48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64"/>
    </row>
    <row r="902" spans="1:13" ht="14.25" customHeight="1" x14ac:dyDescent="0.3">
      <c r="A902" s="48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64"/>
    </row>
    <row r="903" spans="1:13" ht="14.25" customHeight="1" x14ac:dyDescent="0.3">
      <c r="A903" s="48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64"/>
    </row>
    <row r="904" spans="1:13" ht="14.25" customHeight="1" x14ac:dyDescent="0.3">
      <c r="A904" s="48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64"/>
    </row>
    <row r="905" spans="1:13" ht="14.25" customHeight="1" x14ac:dyDescent="0.3">
      <c r="A905" s="48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64"/>
    </row>
    <row r="906" spans="1:13" ht="14.25" customHeight="1" x14ac:dyDescent="0.3">
      <c r="A906" s="48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64"/>
    </row>
    <row r="907" spans="1:13" ht="14.25" customHeight="1" x14ac:dyDescent="0.3">
      <c r="A907" s="48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64"/>
    </row>
    <row r="908" spans="1:13" ht="14.25" customHeight="1" x14ac:dyDescent="0.3">
      <c r="A908" s="48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64"/>
    </row>
    <row r="909" spans="1:13" ht="14.25" customHeight="1" x14ac:dyDescent="0.3">
      <c r="A909" s="48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64"/>
    </row>
    <row r="910" spans="1:13" ht="14.25" customHeight="1" x14ac:dyDescent="0.3">
      <c r="A910" s="48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64"/>
    </row>
    <row r="911" spans="1:13" ht="14.25" customHeight="1" x14ac:dyDescent="0.3">
      <c r="A911" s="48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64"/>
    </row>
    <row r="912" spans="1:13" ht="14.25" customHeight="1" x14ac:dyDescent="0.3">
      <c r="A912" s="48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64"/>
    </row>
    <row r="913" spans="1:13" ht="14.25" customHeight="1" x14ac:dyDescent="0.3">
      <c r="A913" s="48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64"/>
    </row>
    <row r="914" spans="1:13" ht="14.25" customHeight="1" x14ac:dyDescent="0.3">
      <c r="A914" s="48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64"/>
    </row>
    <row r="915" spans="1:13" ht="14.25" customHeight="1" x14ac:dyDescent="0.3">
      <c r="A915" s="48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64"/>
    </row>
    <row r="916" spans="1:13" ht="14.25" customHeight="1" x14ac:dyDescent="0.3">
      <c r="A916" s="48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64"/>
    </row>
    <row r="917" spans="1:13" ht="14.25" customHeight="1" x14ac:dyDescent="0.3">
      <c r="A917" s="48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64"/>
    </row>
    <row r="918" spans="1:13" ht="14.25" customHeight="1" x14ac:dyDescent="0.3">
      <c r="A918" s="48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64"/>
    </row>
    <row r="919" spans="1:13" ht="14.25" customHeight="1" x14ac:dyDescent="0.3">
      <c r="A919" s="48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64"/>
    </row>
    <row r="920" spans="1:13" ht="14.25" customHeight="1" x14ac:dyDescent="0.3">
      <c r="A920" s="48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64"/>
    </row>
    <row r="921" spans="1:13" ht="14.25" customHeight="1" x14ac:dyDescent="0.3">
      <c r="A921" s="48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64"/>
    </row>
    <row r="922" spans="1:13" ht="14.25" customHeight="1" x14ac:dyDescent="0.3">
      <c r="A922" s="48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64"/>
    </row>
    <row r="923" spans="1:13" ht="14.25" customHeight="1" x14ac:dyDescent="0.3">
      <c r="A923" s="48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64"/>
    </row>
    <row r="924" spans="1:13" ht="14.25" customHeight="1" x14ac:dyDescent="0.3">
      <c r="A924" s="48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64"/>
    </row>
    <row r="925" spans="1:13" ht="14.25" customHeight="1" x14ac:dyDescent="0.3">
      <c r="A925" s="48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64"/>
    </row>
    <row r="926" spans="1:13" ht="14.25" customHeight="1" x14ac:dyDescent="0.3">
      <c r="A926" s="48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64"/>
    </row>
    <row r="927" spans="1:13" ht="14.25" customHeight="1" x14ac:dyDescent="0.3">
      <c r="A927" s="48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64"/>
    </row>
    <row r="928" spans="1:13" ht="14.25" customHeight="1" x14ac:dyDescent="0.3">
      <c r="A928" s="48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64"/>
    </row>
    <row r="929" spans="1:13" ht="14.25" customHeight="1" x14ac:dyDescent="0.3">
      <c r="A929" s="48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64"/>
    </row>
    <row r="930" spans="1:13" ht="14.25" customHeight="1" x14ac:dyDescent="0.3">
      <c r="A930" s="48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64"/>
    </row>
    <row r="931" spans="1:13" ht="14.25" customHeight="1" x14ac:dyDescent="0.3">
      <c r="A931" s="48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64"/>
    </row>
    <row r="932" spans="1:13" ht="14.25" customHeight="1" x14ac:dyDescent="0.3">
      <c r="A932" s="48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64"/>
    </row>
    <row r="933" spans="1:13" ht="14.25" customHeight="1" x14ac:dyDescent="0.3">
      <c r="A933" s="48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64"/>
    </row>
    <row r="934" spans="1:13" ht="14.25" customHeight="1" x14ac:dyDescent="0.3">
      <c r="A934" s="48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64"/>
    </row>
    <row r="935" spans="1:13" ht="14.25" customHeight="1" x14ac:dyDescent="0.3">
      <c r="A935" s="48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64"/>
    </row>
    <row r="936" spans="1:13" ht="14.25" customHeight="1" x14ac:dyDescent="0.3">
      <c r="A936" s="48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64"/>
    </row>
    <row r="937" spans="1:13" ht="14.25" customHeight="1" x14ac:dyDescent="0.3">
      <c r="A937" s="48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64"/>
    </row>
    <row r="938" spans="1:13" ht="14.25" customHeight="1" x14ac:dyDescent="0.3">
      <c r="A938" s="48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64"/>
    </row>
    <row r="939" spans="1:13" ht="14.25" customHeight="1" x14ac:dyDescent="0.3">
      <c r="A939" s="48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64"/>
    </row>
    <row r="940" spans="1:13" ht="14.25" customHeight="1" x14ac:dyDescent="0.3">
      <c r="A940" s="48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64"/>
    </row>
    <row r="941" spans="1:13" ht="14.25" customHeight="1" x14ac:dyDescent="0.3">
      <c r="A941" s="48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64"/>
    </row>
    <row r="942" spans="1:13" ht="14.25" customHeight="1" x14ac:dyDescent="0.3">
      <c r="A942" s="48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64"/>
    </row>
    <row r="943" spans="1:13" ht="14.25" customHeight="1" x14ac:dyDescent="0.3">
      <c r="A943" s="48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64"/>
    </row>
    <row r="944" spans="1:13" ht="14.25" customHeight="1" x14ac:dyDescent="0.3">
      <c r="A944" s="48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64"/>
    </row>
    <row r="945" spans="1:13" ht="14.25" customHeight="1" x14ac:dyDescent="0.3">
      <c r="A945" s="48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64"/>
    </row>
    <row r="946" spans="1:13" ht="14.25" customHeight="1" x14ac:dyDescent="0.3">
      <c r="A946" s="48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64"/>
    </row>
    <row r="947" spans="1:13" ht="14.25" customHeight="1" x14ac:dyDescent="0.3">
      <c r="A947" s="48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64"/>
    </row>
    <row r="948" spans="1:13" ht="14.25" customHeight="1" x14ac:dyDescent="0.3">
      <c r="A948" s="48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64"/>
    </row>
    <row r="949" spans="1:13" ht="14.25" customHeight="1" x14ac:dyDescent="0.3">
      <c r="A949" s="48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64"/>
    </row>
    <row r="950" spans="1:13" ht="14.25" customHeight="1" x14ac:dyDescent="0.3">
      <c r="A950" s="48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64"/>
    </row>
    <row r="951" spans="1:13" ht="14.25" customHeight="1" x14ac:dyDescent="0.3">
      <c r="A951" s="48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64"/>
    </row>
    <row r="952" spans="1:13" ht="14.25" customHeight="1" x14ac:dyDescent="0.3">
      <c r="A952" s="48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64"/>
    </row>
    <row r="953" spans="1:13" ht="14.25" customHeight="1" x14ac:dyDescent="0.3">
      <c r="A953" s="48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64"/>
    </row>
    <row r="954" spans="1:13" ht="14.25" customHeight="1" x14ac:dyDescent="0.3">
      <c r="A954" s="48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64"/>
    </row>
    <row r="955" spans="1:13" ht="14.25" customHeight="1" x14ac:dyDescent="0.3">
      <c r="A955" s="48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64"/>
    </row>
    <row r="956" spans="1:13" ht="14.25" customHeight="1" x14ac:dyDescent="0.3">
      <c r="A956" s="48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64"/>
    </row>
    <row r="957" spans="1:13" ht="14.25" customHeight="1" x14ac:dyDescent="0.3">
      <c r="A957" s="48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64"/>
    </row>
    <row r="958" spans="1:13" ht="14.25" customHeight="1" x14ac:dyDescent="0.3">
      <c r="A958" s="48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64"/>
    </row>
    <row r="959" spans="1:13" ht="14.25" customHeight="1" x14ac:dyDescent="0.3">
      <c r="A959" s="48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64"/>
    </row>
    <row r="960" spans="1:13" ht="14.25" customHeight="1" x14ac:dyDescent="0.3">
      <c r="A960" s="48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64"/>
    </row>
    <row r="961" spans="1:13" ht="14.25" customHeight="1" x14ac:dyDescent="0.3">
      <c r="A961" s="48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64"/>
    </row>
    <row r="962" spans="1:13" ht="14.25" customHeight="1" x14ac:dyDescent="0.3">
      <c r="A962" s="48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64"/>
    </row>
    <row r="963" spans="1:13" ht="14.25" customHeight="1" x14ac:dyDescent="0.3">
      <c r="A963" s="48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64"/>
    </row>
    <row r="964" spans="1:13" ht="14.25" customHeight="1" x14ac:dyDescent="0.3">
      <c r="A964" s="48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64"/>
    </row>
    <row r="965" spans="1:13" ht="14.25" customHeight="1" x14ac:dyDescent="0.3">
      <c r="A965" s="48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64"/>
    </row>
    <row r="966" spans="1:13" ht="14.25" customHeight="1" x14ac:dyDescent="0.3">
      <c r="A966" s="48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64"/>
    </row>
    <row r="967" spans="1:13" ht="14.25" customHeight="1" x14ac:dyDescent="0.3">
      <c r="A967" s="48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64"/>
    </row>
    <row r="968" spans="1:13" ht="14.25" customHeight="1" x14ac:dyDescent="0.3">
      <c r="A968" s="48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64"/>
    </row>
    <row r="969" spans="1:13" ht="14.25" customHeight="1" x14ac:dyDescent="0.3">
      <c r="A969" s="48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64"/>
    </row>
    <row r="970" spans="1:13" ht="14.25" customHeight="1" x14ac:dyDescent="0.3">
      <c r="A970" s="48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64"/>
    </row>
    <row r="971" spans="1:13" ht="14.25" customHeight="1" x14ac:dyDescent="0.3">
      <c r="A971" s="48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64"/>
    </row>
    <row r="972" spans="1:13" ht="14.25" customHeight="1" x14ac:dyDescent="0.3">
      <c r="A972" s="48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64"/>
    </row>
    <row r="973" spans="1:13" ht="14.25" customHeight="1" x14ac:dyDescent="0.3">
      <c r="A973" s="48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64"/>
    </row>
    <row r="974" spans="1:13" ht="14.25" customHeight="1" x14ac:dyDescent="0.3">
      <c r="A974" s="48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64"/>
    </row>
    <row r="975" spans="1:13" ht="14.25" customHeight="1" x14ac:dyDescent="0.3">
      <c r="A975" s="48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64"/>
    </row>
    <row r="976" spans="1:13" ht="14.25" customHeight="1" x14ac:dyDescent="0.3">
      <c r="A976" s="48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64"/>
    </row>
    <row r="977" spans="1:13" ht="14.25" customHeight="1" x14ac:dyDescent="0.3">
      <c r="A977" s="48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64"/>
    </row>
    <row r="978" spans="1:13" ht="14.25" customHeight="1" x14ac:dyDescent="0.3">
      <c r="A978" s="48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64"/>
    </row>
    <row r="979" spans="1:13" ht="14.25" customHeight="1" x14ac:dyDescent="0.3">
      <c r="A979" s="48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64"/>
    </row>
    <row r="980" spans="1:13" ht="14.25" customHeight="1" x14ac:dyDescent="0.3">
      <c r="A980" s="48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64"/>
    </row>
    <row r="981" spans="1:13" ht="14.25" customHeight="1" x14ac:dyDescent="0.3">
      <c r="A981" s="48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64"/>
    </row>
    <row r="982" spans="1:13" ht="14.25" customHeight="1" x14ac:dyDescent="0.3">
      <c r="A982" s="48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64"/>
    </row>
    <row r="983" spans="1:13" ht="14.25" customHeight="1" x14ac:dyDescent="0.3">
      <c r="A983" s="48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64"/>
    </row>
    <row r="984" spans="1:13" ht="14.25" customHeight="1" x14ac:dyDescent="0.3">
      <c r="A984" s="48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64"/>
    </row>
    <row r="985" spans="1:13" ht="14.25" customHeight="1" x14ac:dyDescent="0.3">
      <c r="A985" s="48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64"/>
    </row>
    <row r="986" spans="1:13" ht="14.25" customHeight="1" x14ac:dyDescent="0.3">
      <c r="A986" s="48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64"/>
    </row>
    <row r="987" spans="1:13" ht="14.25" customHeight="1" x14ac:dyDescent="0.3">
      <c r="A987" s="48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64"/>
    </row>
    <row r="988" spans="1:13" ht="14.25" customHeight="1" x14ac:dyDescent="0.3">
      <c r="A988" s="48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64"/>
    </row>
    <row r="989" spans="1:13" ht="14.25" customHeight="1" x14ac:dyDescent="0.3">
      <c r="A989" s="48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64"/>
    </row>
    <row r="990" spans="1:13" ht="14.25" customHeight="1" x14ac:dyDescent="0.3">
      <c r="A990" s="48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64"/>
    </row>
    <row r="991" spans="1:13" ht="14.25" customHeight="1" x14ac:dyDescent="0.3">
      <c r="A991" s="48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64"/>
    </row>
    <row r="992" spans="1:13" ht="14.25" customHeight="1" x14ac:dyDescent="0.3">
      <c r="A992" s="48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64"/>
    </row>
    <row r="993" spans="1:13" ht="14.25" customHeight="1" x14ac:dyDescent="0.3">
      <c r="A993" s="48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64"/>
    </row>
    <row r="994" spans="1:13" ht="14.25" customHeight="1" x14ac:dyDescent="0.3">
      <c r="A994" s="48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64"/>
    </row>
    <row r="995" spans="1:13" ht="14.25" customHeight="1" x14ac:dyDescent="0.3">
      <c r="A995" s="48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64"/>
    </row>
    <row r="996" spans="1:13" ht="14.25" customHeight="1" x14ac:dyDescent="0.3">
      <c r="A996" s="48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64"/>
    </row>
    <row r="997" spans="1:13" ht="14.25" customHeight="1" x14ac:dyDescent="0.3">
      <c r="A997" s="48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64"/>
    </row>
    <row r="998" spans="1:13" ht="14.25" customHeight="1" x14ac:dyDescent="0.3">
      <c r="A998" s="48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64"/>
    </row>
    <row r="999" spans="1:13" ht="14.25" customHeight="1" x14ac:dyDescent="0.3">
      <c r="A999" s="48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64"/>
    </row>
    <row r="1000" spans="1:13" ht="14.25" customHeight="1" x14ac:dyDescent="0.3">
      <c r="A1000" s="48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64"/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4140625" defaultRowHeight="15" customHeight="1" x14ac:dyDescent="0.3"/>
  <cols>
    <col min="1" max="1" width="35.6640625" customWidth="1"/>
    <col min="2" max="2" width="16.33203125" customWidth="1"/>
    <col min="3" max="12" width="5.6640625" customWidth="1"/>
    <col min="13" max="13" width="100.5546875" customWidth="1"/>
    <col min="14" max="26" width="8.6640625" customWidth="1"/>
  </cols>
  <sheetData>
    <row r="1" spans="1:26" ht="14.25" customHeight="1" x14ac:dyDescent="0.3">
      <c r="A1" s="1" t="s">
        <v>211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64"/>
    </row>
    <row r="2" spans="1:26" ht="14.25" customHeight="1" x14ac:dyDescent="0.3">
      <c r="A2" s="79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64"/>
    </row>
    <row r="3" spans="1:26" ht="14.25" customHeight="1" x14ac:dyDescent="0.3">
      <c r="A3" s="47" t="s">
        <v>201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64"/>
    </row>
    <row r="4" spans="1:26" ht="14.25" customHeight="1" x14ac:dyDescent="0.3">
      <c r="A4" s="48" t="s">
        <v>202</v>
      </c>
      <c r="B4" s="66" t="s">
        <v>208</v>
      </c>
      <c r="C4" s="64"/>
      <c r="D4" s="64"/>
      <c r="E4" s="64"/>
      <c r="F4" s="64"/>
      <c r="G4" s="64"/>
      <c r="H4" s="64"/>
      <c r="I4" s="64"/>
      <c r="J4" s="64"/>
      <c r="K4" s="64"/>
      <c r="L4" s="64"/>
      <c r="M4" s="64"/>
    </row>
    <row r="5" spans="1:26" ht="14.25" customHeight="1" x14ac:dyDescent="0.3">
      <c r="A5" s="48" t="s">
        <v>204</v>
      </c>
      <c r="B5" s="64" t="s">
        <v>209</v>
      </c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</row>
    <row r="6" spans="1:26" ht="14.25" customHeight="1" x14ac:dyDescent="0.3">
      <c r="A6" s="48"/>
      <c r="B6" s="45"/>
      <c r="C6" s="45"/>
      <c r="D6" s="45"/>
      <c r="E6" s="45"/>
      <c r="F6" s="45"/>
      <c r="G6" s="45"/>
      <c r="H6" s="45"/>
      <c r="I6" s="45"/>
      <c r="J6" s="45"/>
      <c r="K6" s="45"/>
      <c r="L6" s="45"/>
      <c r="M6" s="64"/>
    </row>
    <row r="7" spans="1:26" ht="14.25" customHeight="1" x14ac:dyDescent="0.3">
      <c r="A7" s="49" t="s">
        <v>190</v>
      </c>
      <c r="B7" s="50" t="s">
        <v>195</v>
      </c>
      <c r="C7" s="50" t="s">
        <v>26</v>
      </c>
      <c r="D7" s="50" t="s">
        <v>33</v>
      </c>
      <c r="E7" s="50" t="s">
        <v>41</v>
      </c>
      <c r="F7" s="50" t="s">
        <v>46</v>
      </c>
      <c r="G7" s="50" t="s">
        <v>53</v>
      </c>
      <c r="H7" s="50" t="s">
        <v>59</v>
      </c>
      <c r="I7" s="50" t="s">
        <v>65</v>
      </c>
      <c r="J7" s="50" t="s">
        <v>73</v>
      </c>
      <c r="K7" s="50" t="s">
        <v>79</v>
      </c>
      <c r="L7" s="50" t="s">
        <v>84</v>
      </c>
      <c r="M7" s="68" t="s">
        <v>205</v>
      </c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spans="1:26" ht="14.25" customHeight="1" x14ac:dyDescent="0.3">
      <c r="A8" s="69">
        <v>45957</v>
      </c>
      <c r="B8" s="73">
        <f t="shared" ref="B8:B22" si="0">SUM(C8:L8)</f>
        <v>0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spans="1:26" ht="14.25" customHeight="1" x14ac:dyDescent="0.3">
      <c r="A9" s="69">
        <v>45958</v>
      </c>
      <c r="B9" s="73">
        <f t="shared" si="0"/>
        <v>0</v>
      </c>
      <c r="C9" s="19"/>
      <c r="D9" s="19"/>
      <c r="E9" s="19"/>
      <c r="F9" s="19"/>
      <c r="G9" s="19"/>
      <c r="H9" s="19"/>
      <c r="I9" s="19"/>
      <c r="J9" s="19"/>
      <c r="K9" s="19"/>
      <c r="L9" s="19"/>
      <c r="M9" s="20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spans="1:26" ht="14.25" customHeight="1" x14ac:dyDescent="0.3">
      <c r="A10" s="69">
        <v>45959</v>
      </c>
      <c r="B10" s="73">
        <f t="shared" si="0"/>
        <v>0</v>
      </c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spans="1:26" ht="14.25" customHeight="1" x14ac:dyDescent="0.3">
      <c r="A11" s="69">
        <v>45960</v>
      </c>
      <c r="B11" s="73">
        <f t="shared" si="0"/>
        <v>0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spans="1:26" ht="14.25" customHeight="1" x14ac:dyDescent="0.3">
      <c r="A12" s="69">
        <v>45961</v>
      </c>
      <c r="B12" s="73">
        <f t="shared" si="0"/>
        <v>0</v>
      </c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20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spans="1:26" ht="14.25" customHeight="1" x14ac:dyDescent="0.3">
      <c r="A13" s="69">
        <v>45962</v>
      </c>
      <c r="B13" s="73">
        <f t="shared" si="0"/>
        <v>0</v>
      </c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20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spans="1:26" ht="14.25" customHeight="1" x14ac:dyDescent="0.3">
      <c r="A14" s="69">
        <v>45963</v>
      </c>
      <c r="B14" s="73">
        <f t="shared" si="0"/>
        <v>0</v>
      </c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20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spans="1:26" ht="14.25" customHeight="1" x14ac:dyDescent="0.3">
      <c r="A15" s="69">
        <v>45964</v>
      </c>
      <c r="B15" s="73">
        <f t="shared" si="0"/>
        <v>0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2"/>
    </row>
    <row r="16" spans="1:26" ht="14.25" customHeight="1" x14ac:dyDescent="0.3">
      <c r="A16" s="69">
        <v>45965</v>
      </c>
      <c r="B16" s="73">
        <f t="shared" si="0"/>
        <v>0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2"/>
    </row>
    <row r="17" spans="1:26" ht="14.25" customHeight="1" x14ac:dyDescent="0.3">
      <c r="A17" s="69">
        <v>45966</v>
      </c>
      <c r="B17" s="73">
        <f t="shared" si="0"/>
        <v>0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2"/>
    </row>
    <row r="18" spans="1:26" ht="14.25" customHeight="1" x14ac:dyDescent="0.3">
      <c r="A18" s="69">
        <v>45967</v>
      </c>
      <c r="B18" s="73">
        <f t="shared" si="0"/>
        <v>0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2"/>
    </row>
    <row r="19" spans="1:26" ht="14.25" customHeight="1" x14ac:dyDescent="0.3">
      <c r="A19" s="69">
        <v>45968</v>
      </c>
      <c r="B19" s="73">
        <f t="shared" si="0"/>
        <v>0</v>
      </c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2"/>
    </row>
    <row r="20" spans="1:26" ht="14.25" customHeight="1" x14ac:dyDescent="0.3">
      <c r="A20" s="69">
        <v>45969</v>
      </c>
      <c r="B20" s="73">
        <f t="shared" si="0"/>
        <v>0</v>
      </c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2"/>
    </row>
    <row r="21" spans="1:26" ht="14.25" customHeight="1" x14ac:dyDescent="0.3">
      <c r="A21" s="69">
        <v>45970</v>
      </c>
      <c r="B21" s="73">
        <f t="shared" si="0"/>
        <v>0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2"/>
    </row>
    <row r="22" spans="1:26" ht="14.25" customHeight="1" x14ac:dyDescent="0.3">
      <c r="A22" s="69">
        <v>45971</v>
      </c>
      <c r="B22" s="73">
        <f t="shared" si="0"/>
        <v>0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2"/>
    </row>
    <row r="23" spans="1:26" ht="14.25" customHeight="1" x14ac:dyDescent="0.3">
      <c r="A23" s="52" t="s">
        <v>196</v>
      </c>
      <c r="B23" s="53">
        <f t="shared" ref="B23:L23" si="1">SUM(B8:B22)</f>
        <v>0</v>
      </c>
      <c r="C23" s="53">
        <f t="shared" si="1"/>
        <v>0</v>
      </c>
      <c r="D23" s="53">
        <f t="shared" si="1"/>
        <v>0</v>
      </c>
      <c r="E23" s="53">
        <f t="shared" si="1"/>
        <v>0</v>
      </c>
      <c r="F23" s="53">
        <f t="shared" si="1"/>
        <v>0</v>
      </c>
      <c r="G23" s="53">
        <f t="shared" si="1"/>
        <v>0</v>
      </c>
      <c r="H23" s="53">
        <f t="shared" si="1"/>
        <v>0</v>
      </c>
      <c r="I23" s="53">
        <f t="shared" si="1"/>
        <v>0</v>
      </c>
      <c r="J23" s="53">
        <f t="shared" si="1"/>
        <v>0</v>
      </c>
      <c r="K23" s="53">
        <f t="shared" si="1"/>
        <v>0</v>
      </c>
      <c r="L23" s="53">
        <f t="shared" si="1"/>
        <v>0</v>
      </c>
      <c r="M23" s="74"/>
    </row>
    <row r="24" spans="1:26" ht="14.25" customHeight="1" x14ac:dyDescent="0.3">
      <c r="A24" s="54" t="s">
        <v>197</v>
      </c>
      <c r="B24" s="55">
        <f t="shared" ref="B24:L24" si="2">B23</f>
        <v>0</v>
      </c>
      <c r="C24" s="55">
        <f t="shared" si="2"/>
        <v>0</v>
      </c>
      <c r="D24" s="55">
        <f t="shared" si="2"/>
        <v>0</v>
      </c>
      <c r="E24" s="55">
        <f t="shared" si="2"/>
        <v>0</v>
      </c>
      <c r="F24" s="55">
        <f t="shared" si="2"/>
        <v>0</v>
      </c>
      <c r="G24" s="55">
        <f t="shared" si="2"/>
        <v>0</v>
      </c>
      <c r="H24" s="55">
        <f t="shared" si="2"/>
        <v>0</v>
      </c>
      <c r="I24" s="55">
        <f t="shared" si="2"/>
        <v>0</v>
      </c>
      <c r="J24" s="55">
        <f t="shared" si="2"/>
        <v>0</v>
      </c>
      <c r="K24" s="55">
        <f t="shared" si="2"/>
        <v>0</v>
      </c>
      <c r="L24" s="55">
        <f t="shared" si="2"/>
        <v>0</v>
      </c>
      <c r="M24" s="57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 spans="1:26" ht="14.25" customHeight="1" x14ac:dyDescent="0.3">
      <c r="A25" s="48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64"/>
    </row>
    <row r="26" spans="1:26" ht="14.25" customHeight="1" x14ac:dyDescent="0.3">
      <c r="A26" s="58" t="s">
        <v>198</v>
      </c>
      <c r="B26" s="36" t="s">
        <v>195</v>
      </c>
      <c r="C26" s="36" t="s">
        <v>142</v>
      </c>
      <c r="D26" s="36" t="s">
        <v>144</v>
      </c>
      <c r="E26" s="36" t="s">
        <v>147</v>
      </c>
      <c r="F26" s="36" t="s">
        <v>149</v>
      </c>
      <c r="G26" s="36" t="s">
        <v>152</v>
      </c>
      <c r="H26" s="36" t="s">
        <v>154</v>
      </c>
      <c r="I26" s="36" t="s">
        <v>157</v>
      </c>
      <c r="J26" s="36" t="s">
        <v>159</v>
      </c>
      <c r="K26" s="36" t="s">
        <v>161</v>
      </c>
      <c r="L26" s="36" t="s">
        <v>163</v>
      </c>
      <c r="M26" s="75" t="s">
        <v>205</v>
      </c>
    </row>
    <row r="27" spans="1:26" ht="14.25" customHeight="1" x14ac:dyDescent="0.3">
      <c r="A27" s="51">
        <v>45972</v>
      </c>
      <c r="B27" s="73">
        <f t="shared" ref="B27:B41" si="3">SUM(C27:L27)</f>
        <v>0</v>
      </c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20"/>
    </row>
    <row r="28" spans="1:26" ht="14.25" customHeight="1" x14ac:dyDescent="0.3">
      <c r="A28" s="51">
        <v>45973</v>
      </c>
      <c r="B28" s="73">
        <f t="shared" si="3"/>
        <v>0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20"/>
    </row>
    <row r="29" spans="1:26" ht="14.25" customHeight="1" x14ac:dyDescent="0.3">
      <c r="A29" s="51">
        <v>45974</v>
      </c>
      <c r="B29" s="73">
        <f t="shared" si="3"/>
        <v>0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0"/>
    </row>
    <row r="30" spans="1:26" ht="14.25" customHeight="1" x14ac:dyDescent="0.3">
      <c r="A30" s="51">
        <v>45975</v>
      </c>
      <c r="B30" s="73">
        <f t="shared" si="3"/>
        <v>0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20"/>
    </row>
    <row r="31" spans="1:26" ht="14.25" customHeight="1" x14ac:dyDescent="0.3">
      <c r="A31" s="51">
        <v>45976</v>
      </c>
      <c r="B31" s="73">
        <f t="shared" si="3"/>
        <v>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20"/>
    </row>
    <row r="32" spans="1:26" ht="14.25" customHeight="1" x14ac:dyDescent="0.3">
      <c r="A32" s="51">
        <v>45977</v>
      </c>
      <c r="B32" s="73">
        <f t="shared" si="3"/>
        <v>0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20"/>
    </row>
    <row r="33" spans="1:26" ht="14.25" customHeight="1" x14ac:dyDescent="0.3">
      <c r="A33" s="51">
        <v>45978</v>
      </c>
      <c r="B33" s="73">
        <f t="shared" si="3"/>
        <v>0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20"/>
    </row>
    <row r="34" spans="1:26" ht="14.25" customHeight="1" x14ac:dyDescent="0.3">
      <c r="A34" s="51">
        <v>45979</v>
      </c>
      <c r="B34" s="73">
        <f t="shared" si="3"/>
        <v>0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20"/>
    </row>
    <row r="35" spans="1:26" ht="14.25" customHeight="1" x14ac:dyDescent="0.3">
      <c r="A35" s="51">
        <v>45980</v>
      </c>
      <c r="B35" s="73">
        <f t="shared" si="3"/>
        <v>0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20"/>
    </row>
    <row r="36" spans="1:26" ht="14.25" customHeight="1" x14ac:dyDescent="0.3">
      <c r="A36" s="51">
        <v>45981</v>
      </c>
      <c r="B36" s="73">
        <f t="shared" si="3"/>
        <v>0</v>
      </c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20"/>
    </row>
    <row r="37" spans="1:26" ht="14.25" customHeight="1" x14ac:dyDescent="0.3">
      <c r="A37" s="51">
        <v>45982</v>
      </c>
      <c r="B37" s="73">
        <f t="shared" si="3"/>
        <v>0</v>
      </c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20"/>
    </row>
    <row r="38" spans="1:26" ht="14.25" customHeight="1" x14ac:dyDescent="0.3">
      <c r="A38" s="51">
        <v>45983</v>
      </c>
      <c r="B38" s="73">
        <f t="shared" si="3"/>
        <v>0</v>
      </c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20"/>
    </row>
    <row r="39" spans="1:26" ht="14.25" customHeight="1" x14ac:dyDescent="0.3">
      <c r="A39" s="51">
        <v>45984</v>
      </c>
      <c r="B39" s="73">
        <f t="shared" si="3"/>
        <v>0</v>
      </c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20"/>
    </row>
    <row r="40" spans="1:26" ht="14.25" customHeight="1" x14ac:dyDescent="0.3">
      <c r="A40" s="51">
        <v>45985</v>
      </c>
      <c r="B40" s="73">
        <f t="shared" si="3"/>
        <v>0</v>
      </c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20"/>
    </row>
    <row r="41" spans="1:26" ht="14.25" customHeight="1" x14ac:dyDescent="0.3">
      <c r="A41" s="51">
        <v>45986</v>
      </c>
      <c r="B41" s="73">
        <f t="shared" si="3"/>
        <v>0</v>
      </c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20"/>
    </row>
    <row r="42" spans="1:26" ht="14.25" customHeight="1" x14ac:dyDescent="0.3">
      <c r="A42" s="59" t="s">
        <v>196</v>
      </c>
      <c r="B42" s="60">
        <f t="shared" ref="B42:L42" si="4">SUM(B27:B41)</f>
        <v>0</v>
      </c>
      <c r="C42" s="60">
        <f t="shared" si="4"/>
        <v>0</v>
      </c>
      <c r="D42" s="60">
        <f t="shared" si="4"/>
        <v>0</v>
      </c>
      <c r="E42" s="60">
        <f t="shared" si="4"/>
        <v>0</v>
      </c>
      <c r="F42" s="60">
        <f t="shared" si="4"/>
        <v>0</v>
      </c>
      <c r="G42" s="60">
        <f t="shared" si="4"/>
        <v>0</v>
      </c>
      <c r="H42" s="60">
        <f t="shared" si="4"/>
        <v>0</v>
      </c>
      <c r="I42" s="60">
        <f t="shared" si="4"/>
        <v>0</v>
      </c>
      <c r="J42" s="60">
        <f t="shared" si="4"/>
        <v>0</v>
      </c>
      <c r="K42" s="60">
        <f t="shared" si="4"/>
        <v>0</v>
      </c>
      <c r="L42" s="60">
        <f t="shared" si="4"/>
        <v>0</v>
      </c>
      <c r="M42" s="76"/>
    </row>
    <row r="43" spans="1:26" ht="14.25" customHeight="1" x14ac:dyDescent="0.3">
      <c r="A43" s="54" t="s">
        <v>197</v>
      </c>
      <c r="B43" s="55">
        <f>B24+B42</f>
        <v>0</v>
      </c>
      <c r="C43" s="55">
        <f t="shared" ref="C43:L43" si="5">SUM(C24,C42)</f>
        <v>0</v>
      </c>
      <c r="D43" s="55">
        <f t="shared" si="5"/>
        <v>0</v>
      </c>
      <c r="E43" s="55">
        <f t="shared" si="5"/>
        <v>0</v>
      </c>
      <c r="F43" s="55">
        <f t="shared" si="5"/>
        <v>0</v>
      </c>
      <c r="G43" s="55">
        <f t="shared" si="5"/>
        <v>0</v>
      </c>
      <c r="H43" s="55">
        <f t="shared" si="5"/>
        <v>0</v>
      </c>
      <c r="I43" s="55">
        <f t="shared" si="5"/>
        <v>0</v>
      </c>
      <c r="J43" s="55">
        <f t="shared" si="5"/>
        <v>0</v>
      </c>
      <c r="K43" s="55">
        <f t="shared" si="5"/>
        <v>0</v>
      </c>
      <c r="L43" s="55">
        <f t="shared" si="5"/>
        <v>0</v>
      </c>
      <c r="M43" s="57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 spans="1:26" ht="14.25" customHeight="1" x14ac:dyDescent="0.3">
      <c r="A44" s="48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64"/>
    </row>
    <row r="45" spans="1:26" ht="14.25" customHeight="1" x14ac:dyDescent="0.3">
      <c r="A45" s="61" t="s">
        <v>199</v>
      </c>
      <c r="B45" s="44" t="s">
        <v>195</v>
      </c>
      <c r="C45" s="44" t="s">
        <v>167</v>
      </c>
      <c r="D45" s="44" t="s">
        <v>169</v>
      </c>
      <c r="E45" s="44" t="s">
        <v>171</v>
      </c>
      <c r="F45" s="44" t="s">
        <v>173</v>
      </c>
      <c r="G45" s="44" t="s">
        <v>175</v>
      </c>
      <c r="H45" s="44" t="s">
        <v>177</v>
      </c>
      <c r="I45" s="44" t="s">
        <v>179</v>
      </c>
      <c r="J45" s="44" t="s">
        <v>181</v>
      </c>
      <c r="K45" s="44" t="s">
        <v>183</v>
      </c>
      <c r="L45" s="44" t="s">
        <v>185</v>
      </c>
      <c r="M45" s="77" t="s">
        <v>205</v>
      </c>
    </row>
    <row r="46" spans="1:26" ht="14.25" customHeight="1" x14ac:dyDescent="0.3">
      <c r="A46" s="51">
        <v>45987</v>
      </c>
      <c r="B46" s="73">
        <f t="shared" ref="B46:B60" si="6">SUM(C46:L46)</f>
        <v>0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20"/>
    </row>
    <row r="47" spans="1:26" ht="14.25" customHeight="1" x14ac:dyDescent="0.3">
      <c r="A47" s="51">
        <v>45988</v>
      </c>
      <c r="B47" s="73">
        <f t="shared" si="6"/>
        <v>0</v>
      </c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20"/>
    </row>
    <row r="48" spans="1:26" ht="14.25" customHeight="1" x14ac:dyDescent="0.3">
      <c r="A48" s="51">
        <v>45989</v>
      </c>
      <c r="B48" s="73">
        <f t="shared" si="6"/>
        <v>0</v>
      </c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20"/>
    </row>
    <row r="49" spans="1:26" ht="14.25" customHeight="1" x14ac:dyDescent="0.3">
      <c r="A49" s="51">
        <v>45990</v>
      </c>
      <c r="B49" s="73">
        <f t="shared" si="6"/>
        <v>0</v>
      </c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20"/>
    </row>
    <row r="50" spans="1:26" ht="14.25" customHeight="1" x14ac:dyDescent="0.3">
      <c r="A50" s="51">
        <v>45991</v>
      </c>
      <c r="B50" s="73">
        <f t="shared" si="6"/>
        <v>0</v>
      </c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20"/>
    </row>
    <row r="51" spans="1:26" ht="14.25" customHeight="1" x14ac:dyDescent="0.3">
      <c r="A51" s="51">
        <v>45992</v>
      </c>
      <c r="B51" s="73">
        <f t="shared" si="6"/>
        <v>0</v>
      </c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20"/>
    </row>
    <row r="52" spans="1:26" ht="14.25" customHeight="1" x14ac:dyDescent="0.3">
      <c r="A52" s="51">
        <v>45993</v>
      </c>
      <c r="B52" s="73">
        <f t="shared" si="6"/>
        <v>0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20"/>
    </row>
    <row r="53" spans="1:26" ht="14.25" customHeight="1" x14ac:dyDescent="0.3">
      <c r="A53" s="51">
        <v>45994</v>
      </c>
      <c r="B53" s="73">
        <f t="shared" si="6"/>
        <v>0</v>
      </c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20"/>
    </row>
    <row r="54" spans="1:26" ht="14.25" customHeight="1" x14ac:dyDescent="0.3">
      <c r="A54" s="51">
        <v>45995</v>
      </c>
      <c r="B54" s="73">
        <f t="shared" si="6"/>
        <v>0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20"/>
    </row>
    <row r="55" spans="1:26" ht="14.25" customHeight="1" x14ac:dyDescent="0.3">
      <c r="A55" s="51">
        <v>45996</v>
      </c>
      <c r="B55" s="73">
        <f t="shared" si="6"/>
        <v>0</v>
      </c>
      <c r="C55" s="19"/>
      <c r="D55" s="19"/>
      <c r="E55" s="19"/>
      <c r="F55" s="19"/>
      <c r="G55" s="19"/>
      <c r="H55" s="19"/>
      <c r="I55" s="19"/>
      <c r="J55" s="19"/>
      <c r="K55" s="19"/>
      <c r="L55" s="19"/>
      <c r="M55" s="20"/>
    </row>
    <row r="56" spans="1:26" ht="14.25" customHeight="1" x14ac:dyDescent="0.3">
      <c r="A56" s="51">
        <v>45997</v>
      </c>
      <c r="B56" s="73">
        <f t="shared" si="6"/>
        <v>0</v>
      </c>
      <c r="C56" s="19"/>
      <c r="D56" s="19"/>
      <c r="E56" s="19"/>
      <c r="F56" s="19"/>
      <c r="G56" s="19"/>
      <c r="H56" s="19"/>
      <c r="I56" s="19"/>
      <c r="J56" s="19"/>
      <c r="K56" s="19"/>
      <c r="L56" s="19"/>
      <c r="M56" s="20"/>
    </row>
    <row r="57" spans="1:26" ht="14.25" customHeight="1" x14ac:dyDescent="0.3">
      <c r="A57" s="51">
        <v>45998</v>
      </c>
      <c r="B57" s="73">
        <f t="shared" si="6"/>
        <v>0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20"/>
    </row>
    <row r="58" spans="1:26" ht="14.25" customHeight="1" x14ac:dyDescent="0.3">
      <c r="A58" s="51">
        <v>45999</v>
      </c>
      <c r="B58" s="73">
        <f t="shared" si="6"/>
        <v>0</v>
      </c>
      <c r="C58" s="19"/>
      <c r="D58" s="19"/>
      <c r="E58" s="19"/>
      <c r="F58" s="19"/>
      <c r="G58" s="19"/>
      <c r="H58" s="19"/>
      <c r="I58" s="19"/>
      <c r="J58" s="19"/>
      <c r="K58" s="19"/>
      <c r="L58" s="19"/>
      <c r="M58" s="20"/>
    </row>
    <row r="59" spans="1:26" ht="14.25" customHeight="1" x14ac:dyDescent="0.3">
      <c r="A59" s="51">
        <v>46000</v>
      </c>
      <c r="B59" s="73">
        <f t="shared" si="6"/>
        <v>0</v>
      </c>
      <c r="C59" s="23"/>
      <c r="D59" s="23"/>
      <c r="E59" s="23"/>
      <c r="F59" s="23"/>
      <c r="G59" s="23"/>
      <c r="H59" s="23"/>
      <c r="I59" s="23"/>
      <c r="J59" s="23"/>
      <c r="K59" s="23"/>
      <c r="L59" s="23"/>
      <c r="M59" s="22"/>
    </row>
    <row r="60" spans="1:26" ht="14.25" customHeight="1" x14ac:dyDescent="0.3">
      <c r="A60" s="51">
        <v>46001</v>
      </c>
      <c r="B60" s="73">
        <f t="shared" si="6"/>
        <v>0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2"/>
    </row>
    <row r="61" spans="1:26" ht="14.25" customHeight="1" x14ac:dyDescent="0.3">
      <c r="A61" s="62" t="s">
        <v>196</v>
      </c>
      <c r="B61" s="63">
        <f t="shared" ref="B61:L61" si="7">SUM(B46:B60)</f>
        <v>0</v>
      </c>
      <c r="C61" s="63">
        <f t="shared" si="7"/>
        <v>0</v>
      </c>
      <c r="D61" s="63">
        <f t="shared" si="7"/>
        <v>0</v>
      </c>
      <c r="E61" s="63">
        <f t="shared" si="7"/>
        <v>0</v>
      </c>
      <c r="F61" s="63">
        <f t="shared" si="7"/>
        <v>0</v>
      </c>
      <c r="G61" s="63">
        <f t="shared" si="7"/>
        <v>0</v>
      </c>
      <c r="H61" s="63">
        <f t="shared" si="7"/>
        <v>0</v>
      </c>
      <c r="I61" s="63">
        <f t="shared" si="7"/>
        <v>0</v>
      </c>
      <c r="J61" s="63">
        <f t="shared" si="7"/>
        <v>0</v>
      </c>
      <c r="K61" s="63">
        <f t="shared" si="7"/>
        <v>0</v>
      </c>
      <c r="L61" s="63">
        <f t="shared" si="7"/>
        <v>0</v>
      </c>
      <c r="M61" s="78"/>
    </row>
    <row r="62" spans="1:26" ht="14.25" customHeight="1" x14ac:dyDescent="0.3">
      <c r="A62" s="54" t="s">
        <v>197</v>
      </c>
      <c r="B62" s="55">
        <f>B43+B61</f>
        <v>0</v>
      </c>
      <c r="C62" s="55">
        <f t="shared" ref="C62:L62" si="8">SUM(C43,C61)</f>
        <v>0</v>
      </c>
      <c r="D62" s="55">
        <f t="shared" si="8"/>
        <v>0</v>
      </c>
      <c r="E62" s="55">
        <f t="shared" si="8"/>
        <v>0</v>
      </c>
      <c r="F62" s="55">
        <f t="shared" si="8"/>
        <v>0</v>
      </c>
      <c r="G62" s="55">
        <f t="shared" si="8"/>
        <v>0</v>
      </c>
      <c r="H62" s="55">
        <f t="shared" si="8"/>
        <v>0</v>
      </c>
      <c r="I62" s="55">
        <f t="shared" si="8"/>
        <v>0</v>
      </c>
      <c r="J62" s="55">
        <f t="shared" si="8"/>
        <v>0</v>
      </c>
      <c r="K62" s="55">
        <f t="shared" si="8"/>
        <v>0</v>
      </c>
      <c r="L62" s="55">
        <f t="shared" si="8"/>
        <v>0</v>
      </c>
      <c r="M62" s="57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 spans="1:26" ht="14.25" customHeight="1" x14ac:dyDescent="0.3">
      <c r="A63" s="48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64"/>
    </row>
    <row r="64" spans="1:26" ht="14.25" customHeight="1" x14ac:dyDescent="0.3">
      <c r="A64" s="48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64"/>
    </row>
    <row r="65" spans="1:13" ht="14.25" customHeight="1" x14ac:dyDescent="0.3">
      <c r="A65" s="48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64"/>
    </row>
    <row r="66" spans="1:13" ht="14.25" customHeight="1" x14ac:dyDescent="0.3">
      <c r="A66" s="48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64"/>
    </row>
    <row r="67" spans="1:13" ht="14.25" customHeight="1" x14ac:dyDescent="0.3">
      <c r="A67" s="48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64"/>
    </row>
    <row r="68" spans="1:13" ht="14.25" customHeight="1" x14ac:dyDescent="0.3">
      <c r="A68" s="48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64"/>
    </row>
    <row r="69" spans="1:13" ht="14.25" customHeight="1" x14ac:dyDescent="0.3">
      <c r="A69" s="48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64"/>
    </row>
    <row r="70" spans="1:13" ht="14.25" customHeight="1" x14ac:dyDescent="0.3">
      <c r="A70" s="48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64"/>
    </row>
    <row r="71" spans="1:13" ht="14.25" customHeight="1" x14ac:dyDescent="0.3">
      <c r="A71" s="48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64"/>
    </row>
    <row r="72" spans="1:13" ht="14.25" customHeight="1" x14ac:dyDescent="0.3">
      <c r="A72" s="48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64"/>
    </row>
    <row r="73" spans="1:13" ht="14.25" customHeight="1" x14ac:dyDescent="0.3">
      <c r="A73" s="48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64"/>
    </row>
    <row r="74" spans="1:13" ht="14.25" customHeight="1" x14ac:dyDescent="0.3">
      <c r="A74" s="48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64"/>
    </row>
    <row r="75" spans="1:13" ht="14.25" customHeight="1" x14ac:dyDescent="0.3">
      <c r="A75" s="48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64"/>
    </row>
    <row r="76" spans="1:13" ht="14.25" customHeight="1" x14ac:dyDescent="0.3">
      <c r="A76" s="48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64"/>
    </row>
    <row r="77" spans="1:13" ht="14.25" customHeight="1" x14ac:dyDescent="0.3">
      <c r="A77" s="48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64"/>
    </row>
    <row r="78" spans="1:13" ht="14.25" customHeight="1" x14ac:dyDescent="0.3">
      <c r="A78" s="48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64"/>
    </row>
    <row r="79" spans="1:13" ht="14.25" customHeight="1" x14ac:dyDescent="0.3">
      <c r="A79" s="48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64"/>
    </row>
    <row r="80" spans="1:13" ht="14.25" customHeight="1" x14ac:dyDescent="0.3">
      <c r="A80" s="48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64"/>
    </row>
    <row r="81" spans="1:13" ht="14.25" customHeight="1" x14ac:dyDescent="0.3">
      <c r="A81" s="48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64"/>
    </row>
    <row r="82" spans="1:13" ht="14.25" customHeight="1" x14ac:dyDescent="0.3">
      <c r="A82" s="48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64"/>
    </row>
    <row r="83" spans="1:13" ht="14.25" customHeight="1" x14ac:dyDescent="0.3">
      <c r="A83" s="48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64"/>
    </row>
    <row r="84" spans="1:13" ht="14.25" customHeight="1" x14ac:dyDescent="0.3">
      <c r="A84" s="48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64"/>
    </row>
    <row r="85" spans="1:13" ht="14.25" customHeight="1" x14ac:dyDescent="0.3">
      <c r="A85" s="48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64"/>
    </row>
    <row r="86" spans="1:13" ht="14.25" customHeight="1" x14ac:dyDescent="0.3">
      <c r="A86" s="48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64"/>
    </row>
    <row r="87" spans="1:13" ht="14.25" customHeight="1" x14ac:dyDescent="0.3">
      <c r="A87" s="48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64"/>
    </row>
    <row r="88" spans="1:13" ht="14.25" customHeight="1" x14ac:dyDescent="0.3">
      <c r="A88" s="48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64"/>
    </row>
    <row r="89" spans="1:13" ht="14.25" customHeight="1" x14ac:dyDescent="0.3">
      <c r="A89" s="48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64"/>
    </row>
    <row r="90" spans="1:13" ht="14.25" customHeight="1" x14ac:dyDescent="0.3">
      <c r="A90" s="48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64"/>
    </row>
    <row r="91" spans="1:13" ht="14.25" customHeight="1" x14ac:dyDescent="0.3">
      <c r="A91" s="48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64"/>
    </row>
    <row r="92" spans="1:13" ht="14.25" customHeight="1" x14ac:dyDescent="0.3">
      <c r="A92" s="48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64"/>
    </row>
    <row r="93" spans="1:13" ht="14.25" customHeight="1" x14ac:dyDescent="0.3">
      <c r="A93" s="48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64"/>
    </row>
    <row r="94" spans="1:13" ht="14.25" customHeight="1" x14ac:dyDescent="0.3">
      <c r="A94" s="48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64"/>
    </row>
    <row r="95" spans="1:13" ht="14.25" customHeight="1" x14ac:dyDescent="0.3">
      <c r="A95" s="48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64"/>
    </row>
    <row r="96" spans="1:13" ht="14.25" customHeight="1" x14ac:dyDescent="0.3">
      <c r="A96" s="48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64"/>
    </row>
    <row r="97" spans="1:13" ht="14.25" customHeight="1" x14ac:dyDescent="0.3">
      <c r="A97" s="48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64"/>
    </row>
    <row r="98" spans="1:13" ht="14.25" customHeight="1" x14ac:dyDescent="0.3">
      <c r="A98" s="48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64"/>
    </row>
    <row r="99" spans="1:13" ht="14.25" customHeight="1" x14ac:dyDescent="0.3">
      <c r="A99" s="48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64"/>
    </row>
    <row r="100" spans="1:13" ht="14.25" customHeight="1" x14ac:dyDescent="0.3">
      <c r="A100" s="48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64"/>
    </row>
    <row r="101" spans="1:13" ht="14.25" customHeight="1" x14ac:dyDescent="0.3">
      <c r="A101" s="48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64"/>
    </row>
    <row r="102" spans="1:13" ht="14.25" customHeight="1" x14ac:dyDescent="0.3">
      <c r="A102" s="48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64"/>
    </row>
    <row r="103" spans="1:13" ht="14.25" customHeight="1" x14ac:dyDescent="0.3">
      <c r="A103" s="48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64"/>
    </row>
    <row r="104" spans="1:13" ht="14.25" customHeight="1" x14ac:dyDescent="0.3">
      <c r="A104" s="48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64"/>
    </row>
    <row r="105" spans="1:13" ht="14.25" customHeight="1" x14ac:dyDescent="0.3">
      <c r="A105" s="48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64"/>
    </row>
    <row r="106" spans="1:13" ht="14.25" customHeight="1" x14ac:dyDescent="0.3">
      <c r="A106" s="48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64"/>
    </row>
    <row r="107" spans="1:13" ht="14.25" customHeight="1" x14ac:dyDescent="0.3">
      <c r="A107" s="48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64"/>
    </row>
    <row r="108" spans="1:13" ht="14.25" customHeight="1" x14ac:dyDescent="0.3">
      <c r="A108" s="48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64"/>
    </row>
    <row r="109" spans="1:13" ht="14.25" customHeight="1" x14ac:dyDescent="0.3">
      <c r="A109" s="48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64"/>
    </row>
    <row r="110" spans="1:13" ht="14.25" customHeight="1" x14ac:dyDescent="0.3">
      <c r="A110" s="48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64"/>
    </row>
    <row r="111" spans="1:13" ht="14.25" customHeight="1" x14ac:dyDescent="0.3">
      <c r="A111" s="48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64"/>
    </row>
    <row r="112" spans="1:13" ht="14.25" customHeight="1" x14ac:dyDescent="0.3">
      <c r="A112" s="48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64"/>
    </row>
    <row r="113" spans="1:13" ht="14.25" customHeight="1" x14ac:dyDescent="0.3">
      <c r="A113" s="48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64"/>
    </row>
    <row r="114" spans="1:13" ht="14.25" customHeight="1" x14ac:dyDescent="0.3">
      <c r="A114" s="48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64"/>
    </row>
    <row r="115" spans="1:13" ht="14.25" customHeight="1" x14ac:dyDescent="0.3">
      <c r="A115" s="48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64"/>
    </row>
    <row r="116" spans="1:13" ht="14.25" customHeight="1" x14ac:dyDescent="0.3">
      <c r="A116" s="48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64"/>
    </row>
    <row r="117" spans="1:13" ht="14.25" customHeight="1" x14ac:dyDescent="0.3">
      <c r="A117" s="48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64"/>
    </row>
    <row r="118" spans="1:13" ht="14.25" customHeight="1" x14ac:dyDescent="0.3">
      <c r="A118" s="48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64"/>
    </row>
    <row r="119" spans="1:13" ht="14.25" customHeight="1" x14ac:dyDescent="0.3">
      <c r="A119" s="48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64"/>
    </row>
    <row r="120" spans="1:13" ht="14.25" customHeight="1" x14ac:dyDescent="0.3">
      <c r="A120" s="48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64"/>
    </row>
    <row r="121" spans="1:13" ht="14.25" customHeight="1" x14ac:dyDescent="0.3">
      <c r="A121" s="48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64"/>
    </row>
    <row r="122" spans="1:13" ht="14.25" customHeight="1" x14ac:dyDescent="0.3">
      <c r="A122" s="48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64"/>
    </row>
    <row r="123" spans="1:13" ht="14.25" customHeight="1" x14ac:dyDescent="0.3">
      <c r="A123" s="48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64"/>
    </row>
    <row r="124" spans="1:13" ht="14.25" customHeight="1" x14ac:dyDescent="0.3">
      <c r="A124" s="48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64"/>
    </row>
    <row r="125" spans="1:13" ht="14.25" customHeight="1" x14ac:dyDescent="0.3">
      <c r="A125" s="48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64"/>
    </row>
    <row r="126" spans="1:13" ht="14.25" customHeight="1" x14ac:dyDescent="0.3">
      <c r="A126" s="48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64"/>
    </row>
    <row r="127" spans="1:13" ht="14.25" customHeight="1" x14ac:dyDescent="0.3">
      <c r="A127" s="48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64"/>
    </row>
    <row r="128" spans="1:13" ht="14.25" customHeight="1" x14ac:dyDescent="0.3">
      <c r="A128" s="48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64"/>
    </row>
    <row r="129" spans="1:13" ht="14.25" customHeight="1" x14ac:dyDescent="0.3">
      <c r="A129" s="48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64"/>
    </row>
    <row r="130" spans="1:13" ht="14.25" customHeight="1" x14ac:dyDescent="0.3">
      <c r="A130" s="48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64"/>
    </row>
    <row r="131" spans="1:13" ht="14.25" customHeight="1" x14ac:dyDescent="0.3">
      <c r="A131" s="48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64"/>
    </row>
    <row r="132" spans="1:13" ht="14.25" customHeight="1" x14ac:dyDescent="0.3">
      <c r="A132" s="48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64"/>
    </row>
    <row r="133" spans="1:13" ht="14.25" customHeight="1" x14ac:dyDescent="0.3">
      <c r="A133" s="48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64"/>
    </row>
    <row r="134" spans="1:13" ht="14.25" customHeight="1" x14ac:dyDescent="0.3">
      <c r="A134" s="48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64"/>
    </row>
    <row r="135" spans="1:13" ht="14.25" customHeight="1" x14ac:dyDescent="0.3">
      <c r="A135" s="48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64"/>
    </row>
    <row r="136" spans="1:13" ht="14.25" customHeight="1" x14ac:dyDescent="0.3">
      <c r="A136" s="48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64"/>
    </row>
    <row r="137" spans="1:13" ht="14.25" customHeight="1" x14ac:dyDescent="0.3">
      <c r="A137" s="48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64"/>
    </row>
    <row r="138" spans="1:13" ht="14.25" customHeight="1" x14ac:dyDescent="0.3">
      <c r="A138" s="48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64"/>
    </row>
    <row r="139" spans="1:13" ht="14.25" customHeight="1" x14ac:dyDescent="0.3">
      <c r="A139" s="48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64"/>
    </row>
    <row r="140" spans="1:13" ht="14.25" customHeight="1" x14ac:dyDescent="0.3">
      <c r="A140" s="48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64"/>
    </row>
    <row r="141" spans="1:13" ht="14.25" customHeight="1" x14ac:dyDescent="0.3">
      <c r="A141" s="48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64"/>
    </row>
    <row r="142" spans="1:13" ht="14.25" customHeight="1" x14ac:dyDescent="0.3">
      <c r="A142" s="48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64"/>
    </row>
    <row r="143" spans="1:13" ht="14.25" customHeight="1" x14ac:dyDescent="0.3">
      <c r="A143" s="48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64"/>
    </row>
    <row r="144" spans="1:13" ht="14.25" customHeight="1" x14ac:dyDescent="0.3">
      <c r="A144" s="48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64"/>
    </row>
    <row r="145" spans="1:13" ht="14.25" customHeight="1" x14ac:dyDescent="0.3">
      <c r="A145" s="48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64"/>
    </row>
    <row r="146" spans="1:13" ht="14.25" customHeight="1" x14ac:dyDescent="0.3">
      <c r="A146" s="48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64"/>
    </row>
    <row r="147" spans="1:13" ht="14.25" customHeight="1" x14ac:dyDescent="0.3">
      <c r="A147" s="48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64"/>
    </row>
    <row r="148" spans="1:13" ht="14.25" customHeight="1" x14ac:dyDescent="0.3">
      <c r="A148" s="48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64"/>
    </row>
    <row r="149" spans="1:13" ht="14.25" customHeight="1" x14ac:dyDescent="0.3">
      <c r="A149" s="48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64"/>
    </row>
    <row r="150" spans="1:13" ht="14.25" customHeight="1" x14ac:dyDescent="0.3">
      <c r="A150" s="48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64"/>
    </row>
    <row r="151" spans="1:13" ht="14.25" customHeight="1" x14ac:dyDescent="0.3">
      <c r="A151" s="48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64"/>
    </row>
    <row r="152" spans="1:13" ht="14.25" customHeight="1" x14ac:dyDescent="0.3">
      <c r="A152" s="48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64"/>
    </row>
    <row r="153" spans="1:13" ht="14.25" customHeight="1" x14ac:dyDescent="0.3">
      <c r="A153" s="48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64"/>
    </row>
    <row r="154" spans="1:13" ht="14.25" customHeight="1" x14ac:dyDescent="0.3">
      <c r="A154" s="48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64"/>
    </row>
    <row r="155" spans="1:13" ht="14.25" customHeight="1" x14ac:dyDescent="0.3">
      <c r="A155" s="48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64"/>
    </row>
    <row r="156" spans="1:13" ht="14.25" customHeight="1" x14ac:dyDescent="0.3">
      <c r="A156" s="48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64"/>
    </row>
    <row r="157" spans="1:13" ht="14.25" customHeight="1" x14ac:dyDescent="0.3">
      <c r="A157" s="48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64"/>
    </row>
    <row r="158" spans="1:13" ht="14.25" customHeight="1" x14ac:dyDescent="0.3">
      <c r="A158" s="48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64"/>
    </row>
    <row r="159" spans="1:13" ht="14.25" customHeight="1" x14ac:dyDescent="0.3">
      <c r="A159" s="48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64"/>
    </row>
    <row r="160" spans="1:13" ht="14.25" customHeight="1" x14ac:dyDescent="0.3">
      <c r="A160" s="48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64"/>
    </row>
    <row r="161" spans="1:13" ht="14.25" customHeight="1" x14ac:dyDescent="0.3">
      <c r="A161" s="48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64"/>
    </row>
    <row r="162" spans="1:13" ht="14.25" customHeight="1" x14ac:dyDescent="0.3">
      <c r="A162" s="48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64"/>
    </row>
    <row r="163" spans="1:13" ht="14.25" customHeight="1" x14ac:dyDescent="0.3">
      <c r="A163" s="48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64"/>
    </row>
    <row r="164" spans="1:13" ht="14.25" customHeight="1" x14ac:dyDescent="0.3">
      <c r="A164" s="48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64"/>
    </row>
    <row r="165" spans="1:13" ht="14.25" customHeight="1" x14ac:dyDescent="0.3">
      <c r="A165" s="48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64"/>
    </row>
    <row r="166" spans="1:13" ht="14.25" customHeight="1" x14ac:dyDescent="0.3">
      <c r="A166" s="48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64"/>
    </row>
    <row r="167" spans="1:13" ht="14.25" customHeight="1" x14ac:dyDescent="0.3">
      <c r="A167" s="48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64"/>
    </row>
    <row r="168" spans="1:13" ht="14.25" customHeight="1" x14ac:dyDescent="0.3">
      <c r="A168" s="48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64"/>
    </row>
    <row r="169" spans="1:13" ht="14.25" customHeight="1" x14ac:dyDescent="0.3">
      <c r="A169" s="48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64"/>
    </row>
    <row r="170" spans="1:13" ht="14.25" customHeight="1" x14ac:dyDescent="0.3">
      <c r="A170" s="48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64"/>
    </row>
    <row r="171" spans="1:13" ht="14.25" customHeight="1" x14ac:dyDescent="0.3">
      <c r="A171" s="48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64"/>
    </row>
    <row r="172" spans="1:13" ht="14.25" customHeight="1" x14ac:dyDescent="0.3">
      <c r="A172" s="48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64"/>
    </row>
    <row r="173" spans="1:13" ht="14.25" customHeight="1" x14ac:dyDescent="0.3">
      <c r="A173" s="48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64"/>
    </row>
    <row r="174" spans="1:13" ht="14.25" customHeight="1" x14ac:dyDescent="0.3">
      <c r="A174" s="48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64"/>
    </row>
    <row r="175" spans="1:13" ht="14.25" customHeight="1" x14ac:dyDescent="0.3">
      <c r="A175" s="48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64"/>
    </row>
    <row r="176" spans="1:13" ht="14.25" customHeight="1" x14ac:dyDescent="0.3">
      <c r="A176" s="48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64"/>
    </row>
    <row r="177" spans="1:13" ht="14.25" customHeight="1" x14ac:dyDescent="0.3">
      <c r="A177" s="48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64"/>
    </row>
    <row r="178" spans="1:13" ht="14.25" customHeight="1" x14ac:dyDescent="0.3">
      <c r="A178" s="48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64"/>
    </row>
    <row r="179" spans="1:13" ht="14.25" customHeight="1" x14ac:dyDescent="0.3">
      <c r="A179" s="48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64"/>
    </row>
    <row r="180" spans="1:13" ht="14.25" customHeight="1" x14ac:dyDescent="0.3">
      <c r="A180" s="48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64"/>
    </row>
    <row r="181" spans="1:13" ht="14.25" customHeight="1" x14ac:dyDescent="0.3">
      <c r="A181" s="48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64"/>
    </row>
    <row r="182" spans="1:13" ht="14.25" customHeight="1" x14ac:dyDescent="0.3">
      <c r="A182" s="48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64"/>
    </row>
    <row r="183" spans="1:13" ht="14.25" customHeight="1" x14ac:dyDescent="0.3">
      <c r="A183" s="48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64"/>
    </row>
    <row r="184" spans="1:13" ht="14.25" customHeight="1" x14ac:dyDescent="0.3">
      <c r="A184" s="48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64"/>
    </row>
    <row r="185" spans="1:13" ht="14.25" customHeight="1" x14ac:dyDescent="0.3">
      <c r="A185" s="48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64"/>
    </row>
    <row r="186" spans="1:13" ht="14.25" customHeight="1" x14ac:dyDescent="0.3">
      <c r="A186" s="48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64"/>
    </row>
    <row r="187" spans="1:13" ht="14.25" customHeight="1" x14ac:dyDescent="0.3">
      <c r="A187" s="48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64"/>
    </row>
    <row r="188" spans="1:13" ht="14.25" customHeight="1" x14ac:dyDescent="0.3">
      <c r="A188" s="48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64"/>
    </row>
    <row r="189" spans="1:13" ht="14.25" customHeight="1" x14ac:dyDescent="0.3">
      <c r="A189" s="48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64"/>
    </row>
    <row r="190" spans="1:13" ht="14.25" customHeight="1" x14ac:dyDescent="0.3">
      <c r="A190" s="48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64"/>
    </row>
    <row r="191" spans="1:13" ht="14.25" customHeight="1" x14ac:dyDescent="0.3">
      <c r="A191" s="48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64"/>
    </row>
    <row r="192" spans="1:13" ht="14.25" customHeight="1" x14ac:dyDescent="0.3">
      <c r="A192" s="48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64"/>
    </row>
    <row r="193" spans="1:13" ht="14.25" customHeight="1" x14ac:dyDescent="0.3">
      <c r="A193" s="48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64"/>
    </row>
    <row r="194" spans="1:13" ht="14.25" customHeight="1" x14ac:dyDescent="0.3">
      <c r="A194" s="48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64"/>
    </row>
    <row r="195" spans="1:13" ht="14.25" customHeight="1" x14ac:dyDescent="0.3">
      <c r="A195" s="48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64"/>
    </row>
    <row r="196" spans="1:13" ht="14.25" customHeight="1" x14ac:dyDescent="0.3">
      <c r="A196" s="48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64"/>
    </row>
    <row r="197" spans="1:13" ht="14.25" customHeight="1" x14ac:dyDescent="0.3">
      <c r="A197" s="48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64"/>
    </row>
    <row r="198" spans="1:13" ht="14.25" customHeight="1" x14ac:dyDescent="0.3">
      <c r="A198" s="48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64"/>
    </row>
    <row r="199" spans="1:13" ht="14.25" customHeight="1" x14ac:dyDescent="0.3">
      <c r="A199" s="48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64"/>
    </row>
    <row r="200" spans="1:13" ht="14.25" customHeight="1" x14ac:dyDescent="0.3">
      <c r="A200" s="48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64"/>
    </row>
    <row r="201" spans="1:13" ht="14.25" customHeight="1" x14ac:dyDescent="0.3">
      <c r="A201" s="48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64"/>
    </row>
    <row r="202" spans="1:13" ht="14.25" customHeight="1" x14ac:dyDescent="0.3">
      <c r="A202" s="48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64"/>
    </row>
    <row r="203" spans="1:13" ht="14.25" customHeight="1" x14ac:dyDescent="0.3">
      <c r="A203" s="48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64"/>
    </row>
    <row r="204" spans="1:13" ht="14.25" customHeight="1" x14ac:dyDescent="0.3">
      <c r="A204" s="48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64"/>
    </row>
    <row r="205" spans="1:13" ht="14.25" customHeight="1" x14ac:dyDescent="0.3">
      <c r="A205" s="48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64"/>
    </row>
    <row r="206" spans="1:13" ht="14.25" customHeight="1" x14ac:dyDescent="0.3">
      <c r="A206" s="48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64"/>
    </row>
    <row r="207" spans="1:13" ht="14.25" customHeight="1" x14ac:dyDescent="0.3">
      <c r="A207" s="48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64"/>
    </row>
    <row r="208" spans="1:13" ht="14.25" customHeight="1" x14ac:dyDescent="0.3">
      <c r="A208" s="48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64"/>
    </row>
    <row r="209" spans="1:13" ht="14.25" customHeight="1" x14ac:dyDescent="0.3">
      <c r="A209" s="48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64"/>
    </row>
    <row r="210" spans="1:13" ht="14.25" customHeight="1" x14ac:dyDescent="0.3">
      <c r="A210" s="48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64"/>
    </row>
    <row r="211" spans="1:13" ht="14.25" customHeight="1" x14ac:dyDescent="0.3">
      <c r="A211" s="48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64"/>
    </row>
    <row r="212" spans="1:13" ht="14.25" customHeight="1" x14ac:dyDescent="0.3">
      <c r="A212" s="48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64"/>
    </row>
    <row r="213" spans="1:13" ht="14.25" customHeight="1" x14ac:dyDescent="0.3">
      <c r="A213" s="48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64"/>
    </row>
    <row r="214" spans="1:13" ht="14.25" customHeight="1" x14ac:dyDescent="0.3">
      <c r="A214" s="48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64"/>
    </row>
    <row r="215" spans="1:13" ht="14.25" customHeight="1" x14ac:dyDescent="0.3">
      <c r="A215" s="48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64"/>
    </row>
    <row r="216" spans="1:13" ht="14.25" customHeight="1" x14ac:dyDescent="0.3">
      <c r="A216" s="48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64"/>
    </row>
    <row r="217" spans="1:13" ht="14.25" customHeight="1" x14ac:dyDescent="0.3">
      <c r="A217" s="48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64"/>
    </row>
    <row r="218" spans="1:13" ht="14.25" customHeight="1" x14ac:dyDescent="0.3">
      <c r="A218" s="48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64"/>
    </row>
    <row r="219" spans="1:13" ht="14.25" customHeight="1" x14ac:dyDescent="0.3">
      <c r="A219" s="48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64"/>
    </row>
    <row r="220" spans="1:13" ht="14.25" customHeight="1" x14ac:dyDescent="0.3">
      <c r="A220" s="48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64"/>
    </row>
    <row r="221" spans="1:13" ht="14.25" customHeight="1" x14ac:dyDescent="0.3">
      <c r="A221" s="48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64"/>
    </row>
    <row r="222" spans="1:13" ht="14.25" customHeight="1" x14ac:dyDescent="0.3">
      <c r="A222" s="48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64"/>
    </row>
    <row r="223" spans="1:13" ht="14.25" customHeight="1" x14ac:dyDescent="0.3">
      <c r="A223" s="48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64"/>
    </row>
    <row r="224" spans="1:13" ht="14.25" customHeight="1" x14ac:dyDescent="0.3">
      <c r="A224" s="48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64"/>
    </row>
    <row r="225" spans="1:13" ht="14.25" customHeight="1" x14ac:dyDescent="0.3">
      <c r="A225" s="48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64"/>
    </row>
    <row r="226" spans="1:13" ht="14.25" customHeight="1" x14ac:dyDescent="0.3">
      <c r="A226" s="48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64"/>
    </row>
    <row r="227" spans="1:13" ht="14.25" customHeight="1" x14ac:dyDescent="0.3">
      <c r="A227" s="48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64"/>
    </row>
    <row r="228" spans="1:13" ht="14.25" customHeight="1" x14ac:dyDescent="0.3">
      <c r="A228" s="48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64"/>
    </row>
    <row r="229" spans="1:13" ht="14.25" customHeight="1" x14ac:dyDescent="0.3">
      <c r="A229" s="48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64"/>
    </row>
    <row r="230" spans="1:13" ht="14.25" customHeight="1" x14ac:dyDescent="0.3">
      <c r="A230" s="48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64"/>
    </row>
    <row r="231" spans="1:13" ht="14.25" customHeight="1" x14ac:dyDescent="0.3">
      <c r="A231" s="48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64"/>
    </row>
    <row r="232" spans="1:13" ht="14.25" customHeight="1" x14ac:dyDescent="0.3">
      <c r="A232" s="48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64"/>
    </row>
    <row r="233" spans="1:13" ht="14.25" customHeight="1" x14ac:dyDescent="0.3">
      <c r="A233" s="48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64"/>
    </row>
    <row r="234" spans="1:13" ht="14.25" customHeight="1" x14ac:dyDescent="0.3">
      <c r="A234" s="48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64"/>
    </row>
    <row r="235" spans="1:13" ht="14.25" customHeight="1" x14ac:dyDescent="0.3">
      <c r="A235" s="48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64"/>
    </row>
    <row r="236" spans="1:13" ht="14.25" customHeight="1" x14ac:dyDescent="0.3">
      <c r="A236" s="48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64"/>
    </row>
    <row r="237" spans="1:13" ht="14.25" customHeight="1" x14ac:dyDescent="0.3">
      <c r="A237" s="48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64"/>
    </row>
    <row r="238" spans="1:13" ht="14.25" customHeight="1" x14ac:dyDescent="0.3">
      <c r="A238" s="48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64"/>
    </row>
    <row r="239" spans="1:13" ht="14.25" customHeight="1" x14ac:dyDescent="0.3">
      <c r="A239" s="48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64"/>
    </row>
    <row r="240" spans="1:13" ht="14.25" customHeight="1" x14ac:dyDescent="0.3">
      <c r="A240" s="48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64"/>
    </row>
    <row r="241" spans="1:13" ht="14.25" customHeight="1" x14ac:dyDescent="0.3">
      <c r="A241" s="48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64"/>
    </row>
    <row r="242" spans="1:13" ht="14.25" customHeight="1" x14ac:dyDescent="0.3">
      <c r="A242" s="48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64"/>
    </row>
    <row r="243" spans="1:13" ht="14.25" customHeight="1" x14ac:dyDescent="0.3">
      <c r="A243" s="48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64"/>
    </row>
    <row r="244" spans="1:13" ht="14.25" customHeight="1" x14ac:dyDescent="0.3">
      <c r="A244" s="48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64"/>
    </row>
    <row r="245" spans="1:13" ht="14.25" customHeight="1" x14ac:dyDescent="0.3">
      <c r="A245" s="48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64"/>
    </row>
    <row r="246" spans="1:13" ht="14.25" customHeight="1" x14ac:dyDescent="0.3">
      <c r="A246" s="48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64"/>
    </row>
    <row r="247" spans="1:13" ht="14.25" customHeight="1" x14ac:dyDescent="0.3">
      <c r="A247" s="48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64"/>
    </row>
    <row r="248" spans="1:13" ht="14.25" customHeight="1" x14ac:dyDescent="0.3">
      <c r="A248" s="48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64"/>
    </row>
    <row r="249" spans="1:13" ht="14.25" customHeight="1" x14ac:dyDescent="0.3">
      <c r="A249" s="48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64"/>
    </row>
    <row r="250" spans="1:13" ht="14.25" customHeight="1" x14ac:dyDescent="0.3">
      <c r="A250" s="48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64"/>
    </row>
    <row r="251" spans="1:13" ht="14.25" customHeight="1" x14ac:dyDescent="0.3">
      <c r="A251" s="48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64"/>
    </row>
    <row r="252" spans="1:13" ht="14.25" customHeight="1" x14ac:dyDescent="0.3">
      <c r="A252" s="48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64"/>
    </row>
    <row r="253" spans="1:13" ht="14.25" customHeight="1" x14ac:dyDescent="0.3">
      <c r="A253" s="48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64"/>
    </row>
    <row r="254" spans="1:13" ht="14.25" customHeight="1" x14ac:dyDescent="0.3">
      <c r="A254" s="48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64"/>
    </row>
    <row r="255" spans="1:13" ht="14.25" customHeight="1" x14ac:dyDescent="0.3">
      <c r="A255" s="48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64"/>
    </row>
    <row r="256" spans="1:13" ht="14.25" customHeight="1" x14ac:dyDescent="0.3">
      <c r="A256" s="48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64"/>
    </row>
    <row r="257" spans="1:13" ht="14.25" customHeight="1" x14ac:dyDescent="0.3">
      <c r="A257" s="48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64"/>
    </row>
    <row r="258" spans="1:13" ht="14.25" customHeight="1" x14ac:dyDescent="0.3">
      <c r="A258" s="48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64"/>
    </row>
    <row r="259" spans="1:13" ht="14.25" customHeight="1" x14ac:dyDescent="0.3">
      <c r="A259" s="48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64"/>
    </row>
    <row r="260" spans="1:13" ht="14.25" customHeight="1" x14ac:dyDescent="0.3">
      <c r="A260" s="48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64"/>
    </row>
    <row r="261" spans="1:13" ht="14.25" customHeight="1" x14ac:dyDescent="0.3">
      <c r="A261" s="48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64"/>
    </row>
    <row r="262" spans="1:13" ht="14.25" customHeight="1" x14ac:dyDescent="0.3">
      <c r="A262" s="48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64"/>
    </row>
    <row r="263" spans="1:13" ht="14.25" customHeight="1" x14ac:dyDescent="0.3">
      <c r="A263" s="48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64"/>
    </row>
    <row r="264" spans="1:13" ht="14.25" customHeight="1" x14ac:dyDescent="0.3">
      <c r="A264" s="48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64"/>
    </row>
    <row r="265" spans="1:13" ht="14.25" customHeight="1" x14ac:dyDescent="0.3">
      <c r="A265" s="48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64"/>
    </row>
    <row r="266" spans="1:13" ht="14.25" customHeight="1" x14ac:dyDescent="0.3">
      <c r="A266" s="48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64"/>
    </row>
    <row r="267" spans="1:13" ht="14.25" customHeight="1" x14ac:dyDescent="0.3">
      <c r="A267" s="48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64"/>
    </row>
    <row r="268" spans="1:13" ht="14.25" customHeight="1" x14ac:dyDescent="0.3">
      <c r="A268" s="48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64"/>
    </row>
    <row r="269" spans="1:13" ht="14.25" customHeight="1" x14ac:dyDescent="0.3">
      <c r="A269" s="48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64"/>
    </row>
    <row r="270" spans="1:13" ht="14.25" customHeight="1" x14ac:dyDescent="0.3">
      <c r="A270" s="48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64"/>
    </row>
    <row r="271" spans="1:13" ht="14.25" customHeight="1" x14ac:dyDescent="0.3">
      <c r="A271" s="48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64"/>
    </row>
    <row r="272" spans="1:13" ht="14.25" customHeight="1" x14ac:dyDescent="0.3">
      <c r="A272" s="48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64"/>
    </row>
    <row r="273" spans="1:13" ht="14.25" customHeight="1" x14ac:dyDescent="0.3">
      <c r="A273" s="48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64"/>
    </row>
    <row r="274" spans="1:13" ht="14.25" customHeight="1" x14ac:dyDescent="0.3">
      <c r="A274" s="48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64"/>
    </row>
    <row r="275" spans="1:13" ht="14.25" customHeight="1" x14ac:dyDescent="0.3">
      <c r="A275" s="48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64"/>
    </row>
    <row r="276" spans="1:13" ht="14.25" customHeight="1" x14ac:dyDescent="0.3">
      <c r="A276" s="48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64"/>
    </row>
    <row r="277" spans="1:13" ht="14.25" customHeight="1" x14ac:dyDescent="0.3">
      <c r="A277" s="48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64"/>
    </row>
    <row r="278" spans="1:13" ht="14.25" customHeight="1" x14ac:dyDescent="0.3">
      <c r="A278" s="48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64"/>
    </row>
    <row r="279" spans="1:13" ht="14.25" customHeight="1" x14ac:dyDescent="0.3">
      <c r="A279" s="48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64"/>
    </row>
    <row r="280" spans="1:13" ht="14.25" customHeight="1" x14ac:dyDescent="0.3">
      <c r="A280" s="48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64"/>
    </row>
    <row r="281" spans="1:13" ht="14.25" customHeight="1" x14ac:dyDescent="0.3">
      <c r="A281" s="48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64"/>
    </row>
    <row r="282" spans="1:13" ht="14.25" customHeight="1" x14ac:dyDescent="0.3">
      <c r="A282" s="48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64"/>
    </row>
    <row r="283" spans="1:13" ht="14.25" customHeight="1" x14ac:dyDescent="0.3">
      <c r="A283" s="48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64"/>
    </row>
    <row r="284" spans="1:13" ht="14.25" customHeight="1" x14ac:dyDescent="0.3">
      <c r="A284" s="48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64"/>
    </row>
    <row r="285" spans="1:13" ht="14.25" customHeight="1" x14ac:dyDescent="0.3">
      <c r="A285" s="48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64"/>
    </row>
    <row r="286" spans="1:13" ht="14.25" customHeight="1" x14ac:dyDescent="0.3">
      <c r="A286" s="48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64"/>
    </row>
    <row r="287" spans="1:13" ht="14.25" customHeight="1" x14ac:dyDescent="0.3">
      <c r="A287" s="48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64"/>
    </row>
    <row r="288" spans="1:13" ht="14.25" customHeight="1" x14ac:dyDescent="0.3">
      <c r="A288" s="48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64"/>
    </row>
    <row r="289" spans="1:13" ht="14.25" customHeight="1" x14ac:dyDescent="0.3">
      <c r="A289" s="48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64"/>
    </row>
    <row r="290" spans="1:13" ht="14.25" customHeight="1" x14ac:dyDescent="0.3">
      <c r="A290" s="48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64"/>
    </row>
    <row r="291" spans="1:13" ht="14.25" customHeight="1" x14ac:dyDescent="0.3">
      <c r="A291" s="48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64"/>
    </row>
    <row r="292" spans="1:13" ht="14.25" customHeight="1" x14ac:dyDescent="0.3">
      <c r="A292" s="48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64"/>
    </row>
    <row r="293" spans="1:13" ht="14.25" customHeight="1" x14ac:dyDescent="0.3">
      <c r="A293" s="48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64"/>
    </row>
    <row r="294" spans="1:13" ht="14.25" customHeight="1" x14ac:dyDescent="0.3">
      <c r="A294" s="48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64"/>
    </row>
    <row r="295" spans="1:13" ht="14.25" customHeight="1" x14ac:dyDescent="0.3">
      <c r="A295" s="48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64"/>
    </row>
    <row r="296" spans="1:13" ht="14.25" customHeight="1" x14ac:dyDescent="0.3">
      <c r="A296" s="48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64"/>
    </row>
    <row r="297" spans="1:13" ht="14.25" customHeight="1" x14ac:dyDescent="0.3">
      <c r="A297" s="48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64"/>
    </row>
    <row r="298" spans="1:13" ht="14.25" customHeight="1" x14ac:dyDescent="0.3">
      <c r="A298" s="48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64"/>
    </row>
    <row r="299" spans="1:13" ht="14.25" customHeight="1" x14ac:dyDescent="0.3">
      <c r="A299" s="48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64"/>
    </row>
    <row r="300" spans="1:13" ht="14.25" customHeight="1" x14ac:dyDescent="0.3">
      <c r="A300" s="48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64"/>
    </row>
    <row r="301" spans="1:13" ht="14.25" customHeight="1" x14ac:dyDescent="0.3">
      <c r="A301" s="48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64"/>
    </row>
    <row r="302" spans="1:13" ht="14.25" customHeight="1" x14ac:dyDescent="0.3">
      <c r="A302" s="48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64"/>
    </row>
    <row r="303" spans="1:13" ht="14.25" customHeight="1" x14ac:dyDescent="0.3">
      <c r="A303" s="48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64"/>
    </row>
    <row r="304" spans="1:13" ht="14.25" customHeight="1" x14ac:dyDescent="0.3">
      <c r="A304" s="48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64"/>
    </row>
    <row r="305" spans="1:13" ht="14.25" customHeight="1" x14ac:dyDescent="0.3">
      <c r="A305" s="48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64"/>
    </row>
    <row r="306" spans="1:13" ht="14.25" customHeight="1" x14ac:dyDescent="0.3">
      <c r="A306" s="48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64"/>
    </row>
    <row r="307" spans="1:13" ht="14.25" customHeight="1" x14ac:dyDescent="0.3">
      <c r="A307" s="48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64"/>
    </row>
    <row r="308" spans="1:13" ht="14.25" customHeight="1" x14ac:dyDescent="0.3">
      <c r="A308" s="48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64"/>
    </row>
    <row r="309" spans="1:13" ht="14.25" customHeight="1" x14ac:dyDescent="0.3">
      <c r="A309" s="48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64"/>
    </row>
    <row r="310" spans="1:13" ht="14.25" customHeight="1" x14ac:dyDescent="0.3">
      <c r="A310" s="48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64"/>
    </row>
    <row r="311" spans="1:13" ht="14.25" customHeight="1" x14ac:dyDescent="0.3">
      <c r="A311" s="48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64"/>
    </row>
    <row r="312" spans="1:13" ht="14.25" customHeight="1" x14ac:dyDescent="0.3">
      <c r="A312" s="48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64"/>
    </row>
    <row r="313" spans="1:13" ht="14.25" customHeight="1" x14ac:dyDescent="0.3">
      <c r="A313" s="48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64"/>
    </row>
    <row r="314" spans="1:13" ht="14.25" customHeight="1" x14ac:dyDescent="0.3">
      <c r="A314" s="48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64"/>
    </row>
    <row r="315" spans="1:13" ht="14.25" customHeight="1" x14ac:dyDescent="0.3">
      <c r="A315" s="48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64"/>
    </row>
    <row r="316" spans="1:13" ht="14.25" customHeight="1" x14ac:dyDescent="0.3">
      <c r="A316" s="48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64"/>
    </row>
    <row r="317" spans="1:13" ht="14.25" customHeight="1" x14ac:dyDescent="0.3">
      <c r="A317" s="48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64"/>
    </row>
    <row r="318" spans="1:13" ht="14.25" customHeight="1" x14ac:dyDescent="0.3">
      <c r="A318" s="48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64"/>
    </row>
    <row r="319" spans="1:13" ht="14.25" customHeight="1" x14ac:dyDescent="0.3">
      <c r="A319" s="48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64"/>
    </row>
    <row r="320" spans="1:13" ht="14.25" customHeight="1" x14ac:dyDescent="0.3">
      <c r="A320" s="48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64"/>
    </row>
    <row r="321" spans="1:13" ht="14.25" customHeight="1" x14ac:dyDescent="0.3">
      <c r="A321" s="48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64"/>
    </row>
    <row r="322" spans="1:13" ht="14.25" customHeight="1" x14ac:dyDescent="0.3">
      <c r="A322" s="48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64"/>
    </row>
    <row r="323" spans="1:13" ht="14.25" customHeight="1" x14ac:dyDescent="0.3">
      <c r="A323" s="48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64"/>
    </row>
    <row r="324" spans="1:13" ht="14.25" customHeight="1" x14ac:dyDescent="0.3">
      <c r="A324" s="48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64"/>
    </row>
    <row r="325" spans="1:13" ht="14.25" customHeight="1" x14ac:dyDescent="0.3">
      <c r="A325" s="48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64"/>
    </row>
    <row r="326" spans="1:13" ht="14.25" customHeight="1" x14ac:dyDescent="0.3">
      <c r="A326" s="48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64"/>
    </row>
    <row r="327" spans="1:13" ht="14.25" customHeight="1" x14ac:dyDescent="0.3">
      <c r="A327" s="48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64"/>
    </row>
    <row r="328" spans="1:13" ht="14.25" customHeight="1" x14ac:dyDescent="0.3">
      <c r="A328" s="48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64"/>
    </row>
    <row r="329" spans="1:13" ht="14.25" customHeight="1" x14ac:dyDescent="0.3">
      <c r="A329" s="48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64"/>
    </row>
    <row r="330" spans="1:13" ht="14.25" customHeight="1" x14ac:dyDescent="0.3">
      <c r="A330" s="48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64"/>
    </row>
    <row r="331" spans="1:13" ht="14.25" customHeight="1" x14ac:dyDescent="0.3">
      <c r="A331" s="48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64"/>
    </row>
    <row r="332" spans="1:13" ht="14.25" customHeight="1" x14ac:dyDescent="0.3">
      <c r="A332" s="48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64"/>
    </row>
    <row r="333" spans="1:13" ht="14.25" customHeight="1" x14ac:dyDescent="0.3">
      <c r="A333" s="48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64"/>
    </row>
    <row r="334" spans="1:13" ht="14.25" customHeight="1" x14ac:dyDescent="0.3">
      <c r="A334" s="48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64"/>
    </row>
    <row r="335" spans="1:13" ht="14.25" customHeight="1" x14ac:dyDescent="0.3">
      <c r="A335" s="48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64"/>
    </row>
    <row r="336" spans="1:13" ht="14.25" customHeight="1" x14ac:dyDescent="0.3">
      <c r="A336" s="48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64"/>
    </row>
    <row r="337" spans="1:13" ht="14.25" customHeight="1" x14ac:dyDescent="0.3">
      <c r="A337" s="48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64"/>
    </row>
    <row r="338" spans="1:13" ht="14.25" customHeight="1" x14ac:dyDescent="0.3">
      <c r="A338" s="48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64"/>
    </row>
    <row r="339" spans="1:13" ht="14.25" customHeight="1" x14ac:dyDescent="0.3">
      <c r="A339" s="48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64"/>
    </row>
    <row r="340" spans="1:13" ht="14.25" customHeight="1" x14ac:dyDescent="0.3">
      <c r="A340" s="48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64"/>
    </row>
    <row r="341" spans="1:13" ht="14.25" customHeight="1" x14ac:dyDescent="0.3">
      <c r="A341" s="48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64"/>
    </row>
    <row r="342" spans="1:13" ht="14.25" customHeight="1" x14ac:dyDescent="0.3">
      <c r="A342" s="48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64"/>
    </row>
    <row r="343" spans="1:13" ht="14.25" customHeight="1" x14ac:dyDescent="0.3">
      <c r="A343" s="48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64"/>
    </row>
    <row r="344" spans="1:13" ht="14.25" customHeight="1" x14ac:dyDescent="0.3">
      <c r="A344" s="48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64"/>
    </row>
    <row r="345" spans="1:13" ht="14.25" customHeight="1" x14ac:dyDescent="0.3">
      <c r="A345" s="48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64"/>
    </row>
    <row r="346" spans="1:13" ht="14.25" customHeight="1" x14ac:dyDescent="0.3">
      <c r="A346" s="48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64"/>
    </row>
    <row r="347" spans="1:13" ht="14.25" customHeight="1" x14ac:dyDescent="0.3">
      <c r="A347" s="48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64"/>
    </row>
    <row r="348" spans="1:13" ht="14.25" customHeight="1" x14ac:dyDescent="0.3">
      <c r="A348" s="48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64"/>
    </row>
    <row r="349" spans="1:13" ht="14.25" customHeight="1" x14ac:dyDescent="0.3">
      <c r="A349" s="48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64"/>
    </row>
    <row r="350" spans="1:13" ht="14.25" customHeight="1" x14ac:dyDescent="0.3">
      <c r="A350" s="48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64"/>
    </row>
    <row r="351" spans="1:13" ht="14.25" customHeight="1" x14ac:dyDescent="0.3">
      <c r="A351" s="48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64"/>
    </row>
    <row r="352" spans="1:13" ht="14.25" customHeight="1" x14ac:dyDescent="0.3">
      <c r="A352" s="48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64"/>
    </row>
    <row r="353" spans="1:13" ht="14.25" customHeight="1" x14ac:dyDescent="0.3">
      <c r="A353" s="48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64"/>
    </row>
    <row r="354" spans="1:13" ht="14.25" customHeight="1" x14ac:dyDescent="0.3">
      <c r="A354" s="48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64"/>
    </row>
    <row r="355" spans="1:13" ht="14.25" customHeight="1" x14ac:dyDescent="0.3">
      <c r="A355" s="48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64"/>
    </row>
    <row r="356" spans="1:13" ht="14.25" customHeight="1" x14ac:dyDescent="0.3">
      <c r="A356" s="48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64"/>
    </row>
    <row r="357" spans="1:13" ht="14.25" customHeight="1" x14ac:dyDescent="0.3">
      <c r="A357" s="48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64"/>
    </row>
    <row r="358" spans="1:13" ht="14.25" customHeight="1" x14ac:dyDescent="0.3">
      <c r="A358" s="48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64"/>
    </row>
    <row r="359" spans="1:13" ht="14.25" customHeight="1" x14ac:dyDescent="0.3">
      <c r="A359" s="48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64"/>
    </row>
    <row r="360" spans="1:13" ht="14.25" customHeight="1" x14ac:dyDescent="0.3">
      <c r="A360" s="48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64"/>
    </row>
    <row r="361" spans="1:13" ht="14.25" customHeight="1" x14ac:dyDescent="0.3">
      <c r="A361" s="48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64"/>
    </row>
    <row r="362" spans="1:13" ht="14.25" customHeight="1" x14ac:dyDescent="0.3">
      <c r="A362" s="48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64"/>
    </row>
    <row r="363" spans="1:13" ht="14.25" customHeight="1" x14ac:dyDescent="0.3">
      <c r="A363" s="48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64"/>
    </row>
    <row r="364" spans="1:13" ht="14.25" customHeight="1" x14ac:dyDescent="0.3">
      <c r="A364" s="48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64"/>
    </row>
    <row r="365" spans="1:13" ht="14.25" customHeight="1" x14ac:dyDescent="0.3">
      <c r="A365" s="48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64"/>
    </row>
    <row r="366" spans="1:13" ht="14.25" customHeight="1" x14ac:dyDescent="0.3">
      <c r="A366" s="48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64"/>
    </row>
    <row r="367" spans="1:13" ht="14.25" customHeight="1" x14ac:dyDescent="0.3">
      <c r="A367" s="48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64"/>
    </row>
    <row r="368" spans="1:13" ht="14.25" customHeight="1" x14ac:dyDescent="0.3">
      <c r="A368" s="48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64"/>
    </row>
    <row r="369" spans="1:13" ht="14.25" customHeight="1" x14ac:dyDescent="0.3">
      <c r="A369" s="48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64"/>
    </row>
    <row r="370" spans="1:13" ht="14.25" customHeight="1" x14ac:dyDescent="0.3">
      <c r="A370" s="48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64"/>
    </row>
    <row r="371" spans="1:13" ht="14.25" customHeight="1" x14ac:dyDescent="0.3">
      <c r="A371" s="48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64"/>
    </row>
    <row r="372" spans="1:13" ht="14.25" customHeight="1" x14ac:dyDescent="0.3">
      <c r="A372" s="48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64"/>
    </row>
    <row r="373" spans="1:13" ht="14.25" customHeight="1" x14ac:dyDescent="0.3">
      <c r="A373" s="48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64"/>
    </row>
    <row r="374" spans="1:13" ht="14.25" customHeight="1" x14ac:dyDescent="0.3">
      <c r="A374" s="48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64"/>
    </row>
    <row r="375" spans="1:13" ht="14.25" customHeight="1" x14ac:dyDescent="0.3">
      <c r="A375" s="48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64"/>
    </row>
    <row r="376" spans="1:13" ht="14.25" customHeight="1" x14ac:dyDescent="0.3">
      <c r="A376" s="48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64"/>
    </row>
    <row r="377" spans="1:13" ht="14.25" customHeight="1" x14ac:dyDescent="0.3">
      <c r="A377" s="48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64"/>
    </row>
    <row r="378" spans="1:13" ht="14.25" customHeight="1" x14ac:dyDescent="0.3">
      <c r="A378" s="48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64"/>
    </row>
    <row r="379" spans="1:13" ht="14.25" customHeight="1" x14ac:dyDescent="0.3">
      <c r="A379" s="48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64"/>
    </row>
    <row r="380" spans="1:13" ht="14.25" customHeight="1" x14ac:dyDescent="0.3">
      <c r="A380" s="48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64"/>
    </row>
    <row r="381" spans="1:13" ht="14.25" customHeight="1" x14ac:dyDescent="0.3">
      <c r="A381" s="48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64"/>
    </row>
    <row r="382" spans="1:13" ht="14.25" customHeight="1" x14ac:dyDescent="0.3">
      <c r="A382" s="48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64"/>
    </row>
    <row r="383" spans="1:13" ht="14.25" customHeight="1" x14ac:dyDescent="0.3">
      <c r="A383" s="48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64"/>
    </row>
    <row r="384" spans="1:13" ht="14.25" customHeight="1" x14ac:dyDescent="0.3">
      <c r="A384" s="48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64"/>
    </row>
    <row r="385" spans="1:13" ht="14.25" customHeight="1" x14ac:dyDescent="0.3">
      <c r="A385" s="48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64"/>
    </row>
    <row r="386" spans="1:13" ht="14.25" customHeight="1" x14ac:dyDescent="0.3">
      <c r="A386" s="48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64"/>
    </row>
    <row r="387" spans="1:13" ht="14.25" customHeight="1" x14ac:dyDescent="0.3">
      <c r="A387" s="48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64"/>
    </row>
    <row r="388" spans="1:13" ht="14.25" customHeight="1" x14ac:dyDescent="0.3">
      <c r="A388" s="48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64"/>
    </row>
    <row r="389" spans="1:13" ht="14.25" customHeight="1" x14ac:dyDescent="0.3">
      <c r="A389" s="48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64"/>
    </row>
    <row r="390" spans="1:13" ht="14.25" customHeight="1" x14ac:dyDescent="0.3">
      <c r="A390" s="48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64"/>
    </row>
    <row r="391" spans="1:13" ht="14.25" customHeight="1" x14ac:dyDescent="0.3">
      <c r="A391" s="48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64"/>
    </row>
    <row r="392" spans="1:13" ht="14.25" customHeight="1" x14ac:dyDescent="0.3">
      <c r="A392" s="48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64"/>
    </row>
    <row r="393" spans="1:13" ht="14.25" customHeight="1" x14ac:dyDescent="0.3">
      <c r="A393" s="48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64"/>
    </row>
    <row r="394" spans="1:13" ht="14.25" customHeight="1" x14ac:dyDescent="0.3">
      <c r="A394" s="48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64"/>
    </row>
    <row r="395" spans="1:13" ht="14.25" customHeight="1" x14ac:dyDescent="0.3">
      <c r="A395" s="48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64"/>
    </row>
    <row r="396" spans="1:13" ht="14.25" customHeight="1" x14ac:dyDescent="0.3">
      <c r="A396" s="48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64"/>
    </row>
    <row r="397" spans="1:13" ht="14.25" customHeight="1" x14ac:dyDescent="0.3">
      <c r="A397" s="48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64"/>
    </row>
    <row r="398" spans="1:13" ht="14.25" customHeight="1" x14ac:dyDescent="0.3">
      <c r="A398" s="48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64"/>
    </row>
    <row r="399" spans="1:13" ht="14.25" customHeight="1" x14ac:dyDescent="0.3">
      <c r="A399" s="48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64"/>
    </row>
    <row r="400" spans="1:13" ht="14.25" customHeight="1" x14ac:dyDescent="0.3">
      <c r="A400" s="48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64"/>
    </row>
    <row r="401" spans="1:13" ht="14.25" customHeight="1" x14ac:dyDescent="0.3">
      <c r="A401" s="48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64"/>
    </row>
    <row r="402" spans="1:13" ht="14.25" customHeight="1" x14ac:dyDescent="0.3">
      <c r="A402" s="48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64"/>
    </row>
    <row r="403" spans="1:13" ht="14.25" customHeight="1" x14ac:dyDescent="0.3">
      <c r="A403" s="48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64"/>
    </row>
    <row r="404" spans="1:13" ht="14.25" customHeight="1" x14ac:dyDescent="0.3">
      <c r="A404" s="48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64"/>
    </row>
    <row r="405" spans="1:13" ht="14.25" customHeight="1" x14ac:dyDescent="0.3">
      <c r="A405" s="48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64"/>
    </row>
    <row r="406" spans="1:13" ht="14.25" customHeight="1" x14ac:dyDescent="0.3">
      <c r="A406" s="48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64"/>
    </row>
    <row r="407" spans="1:13" ht="14.25" customHeight="1" x14ac:dyDescent="0.3">
      <c r="A407" s="48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64"/>
    </row>
    <row r="408" spans="1:13" ht="14.25" customHeight="1" x14ac:dyDescent="0.3">
      <c r="A408" s="48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64"/>
    </row>
    <row r="409" spans="1:13" ht="14.25" customHeight="1" x14ac:dyDescent="0.3">
      <c r="A409" s="48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64"/>
    </row>
    <row r="410" spans="1:13" ht="14.25" customHeight="1" x14ac:dyDescent="0.3">
      <c r="A410" s="48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64"/>
    </row>
    <row r="411" spans="1:13" ht="14.25" customHeight="1" x14ac:dyDescent="0.3">
      <c r="A411" s="48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64"/>
    </row>
    <row r="412" spans="1:13" ht="14.25" customHeight="1" x14ac:dyDescent="0.3">
      <c r="A412" s="48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64"/>
    </row>
    <row r="413" spans="1:13" ht="14.25" customHeight="1" x14ac:dyDescent="0.3">
      <c r="A413" s="48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64"/>
    </row>
    <row r="414" spans="1:13" ht="14.25" customHeight="1" x14ac:dyDescent="0.3">
      <c r="A414" s="48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64"/>
    </row>
    <row r="415" spans="1:13" ht="14.25" customHeight="1" x14ac:dyDescent="0.3">
      <c r="A415" s="48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64"/>
    </row>
    <row r="416" spans="1:13" ht="14.25" customHeight="1" x14ac:dyDescent="0.3">
      <c r="A416" s="48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64"/>
    </row>
    <row r="417" spans="1:13" ht="14.25" customHeight="1" x14ac:dyDescent="0.3">
      <c r="A417" s="48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64"/>
    </row>
    <row r="418" spans="1:13" ht="14.25" customHeight="1" x14ac:dyDescent="0.3">
      <c r="A418" s="48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64"/>
    </row>
    <row r="419" spans="1:13" ht="14.25" customHeight="1" x14ac:dyDescent="0.3">
      <c r="A419" s="48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64"/>
    </row>
    <row r="420" spans="1:13" ht="14.25" customHeight="1" x14ac:dyDescent="0.3">
      <c r="A420" s="48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64"/>
    </row>
    <row r="421" spans="1:13" ht="14.25" customHeight="1" x14ac:dyDescent="0.3">
      <c r="A421" s="48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64"/>
    </row>
    <row r="422" spans="1:13" ht="14.25" customHeight="1" x14ac:dyDescent="0.3">
      <c r="A422" s="48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64"/>
    </row>
    <row r="423" spans="1:13" ht="14.25" customHeight="1" x14ac:dyDescent="0.3">
      <c r="A423" s="48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64"/>
    </row>
    <row r="424" spans="1:13" ht="14.25" customHeight="1" x14ac:dyDescent="0.3">
      <c r="A424" s="48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64"/>
    </row>
    <row r="425" spans="1:13" ht="14.25" customHeight="1" x14ac:dyDescent="0.3">
      <c r="A425" s="48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64"/>
    </row>
    <row r="426" spans="1:13" ht="14.25" customHeight="1" x14ac:dyDescent="0.3">
      <c r="A426" s="48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64"/>
    </row>
    <row r="427" spans="1:13" ht="14.25" customHeight="1" x14ac:dyDescent="0.3">
      <c r="A427" s="48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64"/>
    </row>
    <row r="428" spans="1:13" ht="14.25" customHeight="1" x14ac:dyDescent="0.3">
      <c r="A428" s="48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64"/>
    </row>
    <row r="429" spans="1:13" ht="14.25" customHeight="1" x14ac:dyDescent="0.3">
      <c r="A429" s="48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64"/>
    </row>
    <row r="430" spans="1:13" ht="14.25" customHeight="1" x14ac:dyDescent="0.3">
      <c r="A430" s="48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64"/>
    </row>
    <row r="431" spans="1:13" ht="14.25" customHeight="1" x14ac:dyDescent="0.3">
      <c r="A431" s="48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64"/>
    </row>
    <row r="432" spans="1:13" ht="14.25" customHeight="1" x14ac:dyDescent="0.3">
      <c r="A432" s="48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64"/>
    </row>
    <row r="433" spans="1:13" ht="14.25" customHeight="1" x14ac:dyDescent="0.3">
      <c r="A433" s="48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64"/>
    </row>
    <row r="434" spans="1:13" ht="14.25" customHeight="1" x14ac:dyDescent="0.3">
      <c r="A434" s="48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64"/>
    </row>
    <row r="435" spans="1:13" ht="14.25" customHeight="1" x14ac:dyDescent="0.3">
      <c r="A435" s="48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64"/>
    </row>
    <row r="436" spans="1:13" ht="14.25" customHeight="1" x14ac:dyDescent="0.3">
      <c r="A436" s="48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64"/>
    </row>
    <row r="437" spans="1:13" ht="14.25" customHeight="1" x14ac:dyDescent="0.3">
      <c r="A437" s="48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64"/>
    </row>
    <row r="438" spans="1:13" ht="14.25" customHeight="1" x14ac:dyDescent="0.3">
      <c r="A438" s="48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64"/>
    </row>
    <row r="439" spans="1:13" ht="14.25" customHeight="1" x14ac:dyDescent="0.3">
      <c r="A439" s="48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64"/>
    </row>
    <row r="440" spans="1:13" ht="14.25" customHeight="1" x14ac:dyDescent="0.3">
      <c r="A440" s="48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64"/>
    </row>
    <row r="441" spans="1:13" ht="14.25" customHeight="1" x14ac:dyDescent="0.3">
      <c r="A441" s="48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64"/>
    </row>
    <row r="442" spans="1:13" ht="14.25" customHeight="1" x14ac:dyDescent="0.3">
      <c r="A442" s="48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64"/>
    </row>
    <row r="443" spans="1:13" ht="14.25" customHeight="1" x14ac:dyDescent="0.3">
      <c r="A443" s="48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64"/>
    </row>
    <row r="444" spans="1:13" ht="14.25" customHeight="1" x14ac:dyDescent="0.3">
      <c r="A444" s="48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64"/>
    </row>
    <row r="445" spans="1:13" ht="14.25" customHeight="1" x14ac:dyDescent="0.3">
      <c r="A445" s="48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64"/>
    </row>
    <row r="446" spans="1:13" ht="14.25" customHeight="1" x14ac:dyDescent="0.3">
      <c r="A446" s="48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64"/>
    </row>
    <row r="447" spans="1:13" ht="14.25" customHeight="1" x14ac:dyDescent="0.3">
      <c r="A447" s="48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64"/>
    </row>
    <row r="448" spans="1:13" ht="14.25" customHeight="1" x14ac:dyDescent="0.3">
      <c r="A448" s="48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64"/>
    </row>
    <row r="449" spans="1:13" ht="14.25" customHeight="1" x14ac:dyDescent="0.3">
      <c r="A449" s="48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64"/>
    </row>
    <row r="450" spans="1:13" ht="14.25" customHeight="1" x14ac:dyDescent="0.3">
      <c r="A450" s="48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64"/>
    </row>
    <row r="451" spans="1:13" ht="14.25" customHeight="1" x14ac:dyDescent="0.3">
      <c r="A451" s="48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64"/>
    </row>
    <row r="452" spans="1:13" ht="14.25" customHeight="1" x14ac:dyDescent="0.3">
      <c r="A452" s="48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64"/>
    </row>
    <row r="453" spans="1:13" ht="14.25" customHeight="1" x14ac:dyDescent="0.3">
      <c r="A453" s="48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64"/>
    </row>
    <row r="454" spans="1:13" ht="14.25" customHeight="1" x14ac:dyDescent="0.3">
      <c r="A454" s="48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64"/>
    </row>
    <row r="455" spans="1:13" ht="14.25" customHeight="1" x14ac:dyDescent="0.3">
      <c r="A455" s="48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64"/>
    </row>
    <row r="456" spans="1:13" ht="14.25" customHeight="1" x14ac:dyDescent="0.3">
      <c r="A456" s="48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64"/>
    </row>
    <row r="457" spans="1:13" ht="14.25" customHeight="1" x14ac:dyDescent="0.3">
      <c r="A457" s="48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64"/>
    </row>
    <row r="458" spans="1:13" ht="14.25" customHeight="1" x14ac:dyDescent="0.3">
      <c r="A458" s="48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64"/>
    </row>
    <row r="459" spans="1:13" ht="14.25" customHeight="1" x14ac:dyDescent="0.3">
      <c r="A459" s="48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64"/>
    </row>
    <row r="460" spans="1:13" ht="14.25" customHeight="1" x14ac:dyDescent="0.3">
      <c r="A460" s="48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64"/>
    </row>
    <row r="461" spans="1:13" ht="14.25" customHeight="1" x14ac:dyDescent="0.3">
      <c r="A461" s="48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64"/>
    </row>
    <row r="462" spans="1:13" ht="14.25" customHeight="1" x14ac:dyDescent="0.3">
      <c r="A462" s="48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64"/>
    </row>
    <row r="463" spans="1:13" ht="14.25" customHeight="1" x14ac:dyDescent="0.3">
      <c r="A463" s="48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64"/>
    </row>
    <row r="464" spans="1:13" ht="14.25" customHeight="1" x14ac:dyDescent="0.3">
      <c r="A464" s="48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64"/>
    </row>
    <row r="465" spans="1:13" ht="14.25" customHeight="1" x14ac:dyDescent="0.3">
      <c r="A465" s="48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64"/>
    </row>
    <row r="466" spans="1:13" ht="14.25" customHeight="1" x14ac:dyDescent="0.3">
      <c r="A466" s="48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64"/>
    </row>
    <row r="467" spans="1:13" ht="14.25" customHeight="1" x14ac:dyDescent="0.3">
      <c r="A467" s="48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64"/>
    </row>
    <row r="468" spans="1:13" ht="14.25" customHeight="1" x14ac:dyDescent="0.3">
      <c r="A468" s="48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64"/>
    </row>
    <row r="469" spans="1:13" ht="14.25" customHeight="1" x14ac:dyDescent="0.3">
      <c r="A469" s="48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64"/>
    </row>
    <row r="470" spans="1:13" ht="14.25" customHeight="1" x14ac:dyDescent="0.3">
      <c r="A470" s="48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64"/>
    </row>
    <row r="471" spans="1:13" ht="14.25" customHeight="1" x14ac:dyDescent="0.3">
      <c r="A471" s="48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64"/>
    </row>
    <row r="472" spans="1:13" ht="14.25" customHeight="1" x14ac:dyDescent="0.3">
      <c r="A472" s="48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64"/>
    </row>
    <row r="473" spans="1:13" ht="14.25" customHeight="1" x14ac:dyDescent="0.3">
      <c r="A473" s="48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64"/>
    </row>
    <row r="474" spans="1:13" ht="14.25" customHeight="1" x14ac:dyDescent="0.3">
      <c r="A474" s="48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64"/>
    </row>
    <row r="475" spans="1:13" ht="14.25" customHeight="1" x14ac:dyDescent="0.3">
      <c r="A475" s="48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64"/>
    </row>
    <row r="476" spans="1:13" ht="14.25" customHeight="1" x14ac:dyDescent="0.3">
      <c r="A476" s="48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64"/>
    </row>
    <row r="477" spans="1:13" ht="14.25" customHeight="1" x14ac:dyDescent="0.3">
      <c r="A477" s="48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64"/>
    </row>
    <row r="478" spans="1:13" ht="14.25" customHeight="1" x14ac:dyDescent="0.3">
      <c r="A478" s="48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64"/>
    </row>
    <row r="479" spans="1:13" ht="14.25" customHeight="1" x14ac:dyDescent="0.3">
      <c r="A479" s="48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64"/>
    </row>
    <row r="480" spans="1:13" ht="14.25" customHeight="1" x14ac:dyDescent="0.3">
      <c r="A480" s="48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64"/>
    </row>
    <row r="481" spans="1:13" ht="14.25" customHeight="1" x14ac:dyDescent="0.3">
      <c r="A481" s="48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64"/>
    </row>
    <row r="482" spans="1:13" ht="14.25" customHeight="1" x14ac:dyDescent="0.3">
      <c r="A482" s="48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64"/>
    </row>
    <row r="483" spans="1:13" ht="14.25" customHeight="1" x14ac:dyDescent="0.3">
      <c r="A483" s="48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64"/>
    </row>
    <row r="484" spans="1:13" ht="14.25" customHeight="1" x14ac:dyDescent="0.3">
      <c r="A484" s="48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64"/>
    </row>
    <row r="485" spans="1:13" ht="14.25" customHeight="1" x14ac:dyDescent="0.3">
      <c r="A485" s="48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64"/>
    </row>
    <row r="486" spans="1:13" ht="14.25" customHeight="1" x14ac:dyDescent="0.3">
      <c r="A486" s="48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64"/>
    </row>
    <row r="487" spans="1:13" ht="14.25" customHeight="1" x14ac:dyDescent="0.3">
      <c r="A487" s="48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64"/>
    </row>
    <row r="488" spans="1:13" ht="14.25" customHeight="1" x14ac:dyDescent="0.3">
      <c r="A488" s="48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64"/>
    </row>
    <row r="489" spans="1:13" ht="14.25" customHeight="1" x14ac:dyDescent="0.3">
      <c r="A489" s="48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64"/>
    </row>
    <row r="490" spans="1:13" ht="14.25" customHeight="1" x14ac:dyDescent="0.3">
      <c r="A490" s="48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64"/>
    </row>
    <row r="491" spans="1:13" ht="14.25" customHeight="1" x14ac:dyDescent="0.3">
      <c r="A491" s="48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64"/>
    </row>
    <row r="492" spans="1:13" ht="14.25" customHeight="1" x14ac:dyDescent="0.3">
      <c r="A492" s="48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64"/>
    </row>
    <row r="493" spans="1:13" ht="14.25" customHeight="1" x14ac:dyDescent="0.3">
      <c r="A493" s="48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64"/>
    </row>
    <row r="494" spans="1:13" ht="14.25" customHeight="1" x14ac:dyDescent="0.3">
      <c r="A494" s="48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64"/>
    </row>
    <row r="495" spans="1:13" ht="14.25" customHeight="1" x14ac:dyDescent="0.3">
      <c r="A495" s="48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64"/>
    </row>
    <row r="496" spans="1:13" ht="14.25" customHeight="1" x14ac:dyDescent="0.3">
      <c r="A496" s="48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64"/>
    </row>
    <row r="497" spans="1:13" ht="14.25" customHeight="1" x14ac:dyDescent="0.3">
      <c r="A497" s="48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64"/>
    </row>
    <row r="498" spans="1:13" ht="14.25" customHeight="1" x14ac:dyDescent="0.3">
      <c r="A498" s="48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64"/>
    </row>
    <row r="499" spans="1:13" ht="14.25" customHeight="1" x14ac:dyDescent="0.3">
      <c r="A499" s="48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64"/>
    </row>
    <row r="500" spans="1:13" ht="14.25" customHeight="1" x14ac:dyDescent="0.3">
      <c r="A500" s="48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64"/>
    </row>
    <row r="501" spans="1:13" ht="14.25" customHeight="1" x14ac:dyDescent="0.3">
      <c r="A501" s="48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64"/>
    </row>
    <row r="502" spans="1:13" ht="14.25" customHeight="1" x14ac:dyDescent="0.3">
      <c r="A502" s="48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64"/>
    </row>
    <row r="503" spans="1:13" ht="14.25" customHeight="1" x14ac:dyDescent="0.3">
      <c r="A503" s="48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64"/>
    </row>
    <row r="504" spans="1:13" ht="14.25" customHeight="1" x14ac:dyDescent="0.3">
      <c r="A504" s="48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64"/>
    </row>
    <row r="505" spans="1:13" ht="14.25" customHeight="1" x14ac:dyDescent="0.3">
      <c r="A505" s="48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64"/>
    </row>
    <row r="506" spans="1:13" ht="14.25" customHeight="1" x14ac:dyDescent="0.3">
      <c r="A506" s="48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64"/>
    </row>
    <row r="507" spans="1:13" ht="14.25" customHeight="1" x14ac:dyDescent="0.3">
      <c r="A507" s="48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64"/>
    </row>
    <row r="508" spans="1:13" ht="14.25" customHeight="1" x14ac:dyDescent="0.3">
      <c r="A508" s="48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64"/>
    </row>
    <row r="509" spans="1:13" ht="14.25" customHeight="1" x14ac:dyDescent="0.3">
      <c r="A509" s="48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64"/>
    </row>
    <row r="510" spans="1:13" ht="14.25" customHeight="1" x14ac:dyDescent="0.3">
      <c r="A510" s="48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64"/>
    </row>
    <row r="511" spans="1:13" ht="14.25" customHeight="1" x14ac:dyDescent="0.3">
      <c r="A511" s="48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64"/>
    </row>
    <row r="512" spans="1:13" ht="14.25" customHeight="1" x14ac:dyDescent="0.3">
      <c r="A512" s="48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64"/>
    </row>
    <row r="513" spans="1:13" ht="14.25" customHeight="1" x14ac:dyDescent="0.3">
      <c r="A513" s="48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64"/>
    </row>
    <row r="514" spans="1:13" ht="14.25" customHeight="1" x14ac:dyDescent="0.3">
      <c r="A514" s="48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64"/>
    </row>
    <row r="515" spans="1:13" ht="14.25" customHeight="1" x14ac:dyDescent="0.3">
      <c r="A515" s="48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64"/>
    </row>
    <row r="516" spans="1:13" ht="14.25" customHeight="1" x14ac:dyDescent="0.3">
      <c r="A516" s="48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64"/>
    </row>
    <row r="517" spans="1:13" ht="14.25" customHeight="1" x14ac:dyDescent="0.3">
      <c r="A517" s="48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64"/>
    </row>
    <row r="518" spans="1:13" ht="14.25" customHeight="1" x14ac:dyDescent="0.3">
      <c r="A518" s="48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64"/>
    </row>
    <row r="519" spans="1:13" ht="14.25" customHeight="1" x14ac:dyDescent="0.3">
      <c r="A519" s="48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64"/>
    </row>
    <row r="520" spans="1:13" ht="14.25" customHeight="1" x14ac:dyDescent="0.3">
      <c r="A520" s="48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64"/>
    </row>
    <row r="521" spans="1:13" ht="14.25" customHeight="1" x14ac:dyDescent="0.3">
      <c r="A521" s="48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64"/>
    </row>
    <row r="522" spans="1:13" ht="14.25" customHeight="1" x14ac:dyDescent="0.3">
      <c r="A522" s="48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64"/>
    </row>
    <row r="523" spans="1:13" ht="14.25" customHeight="1" x14ac:dyDescent="0.3">
      <c r="A523" s="48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64"/>
    </row>
    <row r="524" spans="1:13" ht="14.25" customHeight="1" x14ac:dyDescent="0.3">
      <c r="A524" s="48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64"/>
    </row>
    <row r="525" spans="1:13" ht="14.25" customHeight="1" x14ac:dyDescent="0.3">
      <c r="A525" s="48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64"/>
    </row>
    <row r="526" spans="1:13" ht="14.25" customHeight="1" x14ac:dyDescent="0.3">
      <c r="A526" s="48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64"/>
    </row>
    <row r="527" spans="1:13" ht="14.25" customHeight="1" x14ac:dyDescent="0.3">
      <c r="A527" s="48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64"/>
    </row>
    <row r="528" spans="1:13" ht="14.25" customHeight="1" x14ac:dyDescent="0.3">
      <c r="A528" s="48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64"/>
    </row>
    <row r="529" spans="1:13" ht="14.25" customHeight="1" x14ac:dyDescent="0.3">
      <c r="A529" s="48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64"/>
    </row>
    <row r="530" spans="1:13" ht="14.25" customHeight="1" x14ac:dyDescent="0.3">
      <c r="A530" s="48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64"/>
    </row>
    <row r="531" spans="1:13" ht="14.25" customHeight="1" x14ac:dyDescent="0.3">
      <c r="A531" s="48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64"/>
    </row>
    <row r="532" spans="1:13" ht="14.25" customHeight="1" x14ac:dyDescent="0.3">
      <c r="A532" s="48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64"/>
    </row>
    <row r="533" spans="1:13" ht="14.25" customHeight="1" x14ac:dyDescent="0.3">
      <c r="A533" s="48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64"/>
    </row>
    <row r="534" spans="1:13" ht="14.25" customHeight="1" x14ac:dyDescent="0.3">
      <c r="A534" s="48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64"/>
    </row>
    <row r="535" spans="1:13" ht="14.25" customHeight="1" x14ac:dyDescent="0.3">
      <c r="A535" s="48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64"/>
    </row>
    <row r="536" spans="1:13" ht="14.25" customHeight="1" x14ac:dyDescent="0.3">
      <c r="A536" s="48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64"/>
    </row>
    <row r="537" spans="1:13" ht="14.25" customHeight="1" x14ac:dyDescent="0.3">
      <c r="A537" s="48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64"/>
    </row>
    <row r="538" spans="1:13" ht="14.25" customHeight="1" x14ac:dyDescent="0.3">
      <c r="A538" s="48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64"/>
    </row>
    <row r="539" spans="1:13" ht="14.25" customHeight="1" x14ac:dyDescent="0.3">
      <c r="A539" s="48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64"/>
    </row>
    <row r="540" spans="1:13" ht="14.25" customHeight="1" x14ac:dyDescent="0.3">
      <c r="A540" s="48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64"/>
    </row>
    <row r="541" spans="1:13" ht="14.25" customHeight="1" x14ac:dyDescent="0.3">
      <c r="A541" s="48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64"/>
    </row>
    <row r="542" spans="1:13" ht="14.25" customHeight="1" x14ac:dyDescent="0.3">
      <c r="A542" s="48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64"/>
    </row>
    <row r="543" spans="1:13" ht="14.25" customHeight="1" x14ac:dyDescent="0.3">
      <c r="A543" s="48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64"/>
    </row>
    <row r="544" spans="1:13" ht="14.25" customHeight="1" x14ac:dyDescent="0.3">
      <c r="A544" s="48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64"/>
    </row>
    <row r="545" spans="1:13" ht="14.25" customHeight="1" x14ac:dyDescent="0.3">
      <c r="A545" s="48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64"/>
    </row>
    <row r="546" spans="1:13" ht="14.25" customHeight="1" x14ac:dyDescent="0.3">
      <c r="A546" s="48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64"/>
    </row>
    <row r="547" spans="1:13" ht="14.25" customHeight="1" x14ac:dyDescent="0.3">
      <c r="A547" s="48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64"/>
    </row>
    <row r="548" spans="1:13" ht="14.25" customHeight="1" x14ac:dyDescent="0.3">
      <c r="A548" s="48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64"/>
    </row>
    <row r="549" spans="1:13" ht="14.25" customHeight="1" x14ac:dyDescent="0.3">
      <c r="A549" s="48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64"/>
    </row>
    <row r="550" spans="1:13" ht="14.25" customHeight="1" x14ac:dyDescent="0.3">
      <c r="A550" s="48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64"/>
    </row>
    <row r="551" spans="1:13" ht="14.25" customHeight="1" x14ac:dyDescent="0.3">
      <c r="A551" s="48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64"/>
    </row>
    <row r="552" spans="1:13" ht="14.25" customHeight="1" x14ac:dyDescent="0.3">
      <c r="A552" s="48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64"/>
    </row>
    <row r="553" spans="1:13" ht="14.25" customHeight="1" x14ac:dyDescent="0.3">
      <c r="A553" s="48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64"/>
    </row>
    <row r="554" spans="1:13" ht="14.25" customHeight="1" x14ac:dyDescent="0.3">
      <c r="A554" s="48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64"/>
    </row>
    <row r="555" spans="1:13" ht="14.25" customHeight="1" x14ac:dyDescent="0.3">
      <c r="A555" s="48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64"/>
    </row>
    <row r="556" spans="1:13" ht="14.25" customHeight="1" x14ac:dyDescent="0.3">
      <c r="A556" s="48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64"/>
    </row>
    <row r="557" spans="1:13" ht="14.25" customHeight="1" x14ac:dyDescent="0.3">
      <c r="A557" s="48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64"/>
    </row>
    <row r="558" spans="1:13" ht="14.25" customHeight="1" x14ac:dyDescent="0.3">
      <c r="A558" s="48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64"/>
    </row>
    <row r="559" spans="1:13" ht="14.25" customHeight="1" x14ac:dyDescent="0.3">
      <c r="A559" s="48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64"/>
    </row>
    <row r="560" spans="1:13" ht="14.25" customHeight="1" x14ac:dyDescent="0.3">
      <c r="A560" s="48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64"/>
    </row>
    <row r="561" spans="1:13" ht="14.25" customHeight="1" x14ac:dyDescent="0.3">
      <c r="A561" s="48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64"/>
    </row>
    <row r="562" spans="1:13" ht="14.25" customHeight="1" x14ac:dyDescent="0.3">
      <c r="A562" s="48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64"/>
    </row>
    <row r="563" spans="1:13" ht="14.25" customHeight="1" x14ac:dyDescent="0.3">
      <c r="A563" s="48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64"/>
    </row>
    <row r="564" spans="1:13" ht="14.25" customHeight="1" x14ac:dyDescent="0.3">
      <c r="A564" s="48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64"/>
    </row>
    <row r="565" spans="1:13" ht="14.25" customHeight="1" x14ac:dyDescent="0.3">
      <c r="A565" s="48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64"/>
    </row>
    <row r="566" spans="1:13" ht="14.25" customHeight="1" x14ac:dyDescent="0.3">
      <c r="A566" s="48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64"/>
    </row>
    <row r="567" spans="1:13" ht="14.25" customHeight="1" x14ac:dyDescent="0.3">
      <c r="A567" s="48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64"/>
    </row>
    <row r="568" spans="1:13" ht="14.25" customHeight="1" x14ac:dyDescent="0.3">
      <c r="A568" s="48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64"/>
    </row>
    <row r="569" spans="1:13" ht="14.25" customHeight="1" x14ac:dyDescent="0.3">
      <c r="A569" s="48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64"/>
    </row>
    <row r="570" spans="1:13" ht="14.25" customHeight="1" x14ac:dyDescent="0.3">
      <c r="A570" s="48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64"/>
    </row>
    <row r="571" spans="1:13" ht="14.25" customHeight="1" x14ac:dyDescent="0.3">
      <c r="A571" s="48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64"/>
    </row>
    <row r="572" spans="1:13" ht="14.25" customHeight="1" x14ac:dyDescent="0.3">
      <c r="A572" s="48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64"/>
    </row>
    <row r="573" spans="1:13" ht="14.25" customHeight="1" x14ac:dyDescent="0.3">
      <c r="A573" s="48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64"/>
    </row>
    <row r="574" spans="1:13" ht="14.25" customHeight="1" x14ac:dyDescent="0.3">
      <c r="A574" s="48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64"/>
    </row>
    <row r="575" spans="1:13" ht="14.25" customHeight="1" x14ac:dyDescent="0.3">
      <c r="A575" s="48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64"/>
    </row>
    <row r="576" spans="1:13" ht="14.25" customHeight="1" x14ac:dyDescent="0.3">
      <c r="A576" s="48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64"/>
    </row>
    <row r="577" spans="1:13" ht="14.25" customHeight="1" x14ac:dyDescent="0.3">
      <c r="A577" s="48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64"/>
    </row>
    <row r="578" spans="1:13" ht="14.25" customHeight="1" x14ac:dyDescent="0.3">
      <c r="A578" s="48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64"/>
    </row>
    <row r="579" spans="1:13" ht="14.25" customHeight="1" x14ac:dyDescent="0.3">
      <c r="A579" s="48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64"/>
    </row>
    <row r="580" spans="1:13" ht="14.25" customHeight="1" x14ac:dyDescent="0.3">
      <c r="A580" s="48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64"/>
    </row>
    <row r="581" spans="1:13" ht="14.25" customHeight="1" x14ac:dyDescent="0.3">
      <c r="A581" s="48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64"/>
    </row>
    <row r="582" spans="1:13" ht="14.25" customHeight="1" x14ac:dyDescent="0.3">
      <c r="A582" s="48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64"/>
    </row>
    <row r="583" spans="1:13" ht="14.25" customHeight="1" x14ac:dyDescent="0.3">
      <c r="A583" s="48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64"/>
    </row>
    <row r="584" spans="1:13" ht="14.25" customHeight="1" x14ac:dyDescent="0.3">
      <c r="A584" s="48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64"/>
    </row>
    <row r="585" spans="1:13" ht="14.25" customHeight="1" x14ac:dyDescent="0.3">
      <c r="A585" s="48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64"/>
    </row>
    <row r="586" spans="1:13" ht="14.25" customHeight="1" x14ac:dyDescent="0.3">
      <c r="A586" s="48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64"/>
    </row>
    <row r="587" spans="1:13" ht="14.25" customHeight="1" x14ac:dyDescent="0.3">
      <c r="A587" s="48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64"/>
    </row>
    <row r="588" spans="1:13" ht="14.25" customHeight="1" x14ac:dyDescent="0.3">
      <c r="A588" s="48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64"/>
    </row>
    <row r="589" spans="1:13" ht="14.25" customHeight="1" x14ac:dyDescent="0.3">
      <c r="A589" s="48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64"/>
    </row>
    <row r="590" spans="1:13" ht="14.25" customHeight="1" x14ac:dyDescent="0.3">
      <c r="A590" s="48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64"/>
    </row>
    <row r="591" spans="1:13" ht="14.25" customHeight="1" x14ac:dyDescent="0.3">
      <c r="A591" s="48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64"/>
    </row>
    <row r="592" spans="1:13" ht="14.25" customHeight="1" x14ac:dyDescent="0.3">
      <c r="A592" s="48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64"/>
    </row>
    <row r="593" spans="1:13" ht="14.25" customHeight="1" x14ac:dyDescent="0.3">
      <c r="A593" s="48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64"/>
    </row>
    <row r="594" spans="1:13" ht="14.25" customHeight="1" x14ac:dyDescent="0.3">
      <c r="A594" s="48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64"/>
    </row>
    <row r="595" spans="1:13" ht="14.25" customHeight="1" x14ac:dyDescent="0.3">
      <c r="A595" s="48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64"/>
    </row>
    <row r="596" spans="1:13" ht="14.25" customHeight="1" x14ac:dyDescent="0.3">
      <c r="A596" s="48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64"/>
    </row>
    <row r="597" spans="1:13" ht="14.25" customHeight="1" x14ac:dyDescent="0.3">
      <c r="A597" s="48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64"/>
    </row>
    <row r="598" spans="1:13" ht="14.25" customHeight="1" x14ac:dyDescent="0.3">
      <c r="A598" s="48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64"/>
    </row>
    <row r="599" spans="1:13" ht="14.25" customHeight="1" x14ac:dyDescent="0.3">
      <c r="A599" s="48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64"/>
    </row>
    <row r="600" spans="1:13" ht="14.25" customHeight="1" x14ac:dyDescent="0.3">
      <c r="A600" s="48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64"/>
    </row>
    <row r="601" spans="1:13" ht="14.25" customHeight="1" x14ac:dyDescent="0.3">
      <c r="A601" s="48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64"/>
    </row>
    <row r="602" spans="1:13" ht="14.25" customHeight="1" x14ac:dyDescent="0.3">
      <c r="A602" s="48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64"/>
    </row>
    <row r="603" spans="1:13" ht="14.25" customHeight="1" x14ac:dyDescent="0.3">
      <c r="A603" s="48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64"/>
    </row>
    <row r="604" spans="1:13" ht="14.25" customHeight="1" x14ac:dyDescent="0.3">
      <c r="A604" s="48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64"/>
    </row>
    <row r="605" spans="1:13" ht="14.25" customHeight="1" x14ac:dyDescent="0.3">
      <c r="A605" s="48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64"/>
    </row>
    <row r="606" spans="1:13" ht="14.25" customHeight="1" x14ac:dyDescent="0.3">
      <c r="A606" s="48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64"/>
    </row>
    <row r="607" spans="1:13" ht="14.25" customHeight="1" x14ac:dyDescent="0.3">
      <c r="A607" s="48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64"/>
    </row>
    <row r="608" spans="1:13" ht="14.25" customHeight="1" x14ac:dyDescent="0.3">
      <c r="A608" s="48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64"/>
    </row>
    <row r="609" spans="1:13" ht="14.25" customHeight="1" x14ac:dyDescent="0.3">
      <c r="A609" s="48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64"/>
    </row>
    <row r="610" spans="1:13" ht="14.25" customHeight="1" x14ac:dyDescent="0.3">
      <c r="A610" s="48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64"/>
    </row>
    <row r="611" spans="1:13" ht="14.25" customHeight="1" x14ac:dyDescent="0.3">
      <c r="A611" s="48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64"/>
    </row>
    <row r="612" spans="1:13" ht="14.25" customHeight="1" x14ac:dyDescent="0.3">
      <c r="A612" s="48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64"/>
    </row>
    <row r="613" spans="1:13" ht="14.25" customHeight="1" x14ac:dyDescent="0.3">
      <c r="A613" s="48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64"/>
    </row>
    <row r="614" spans="1:13" ht="14.25" customHeight="1" x14ac:dyDescent="0.3">
      <c r="A614" s="48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64"/>
    </row>
    <row r="615" spans="1:13" ht="14.25" customHeight="1" x14ac:dyDescent="0.3">
      <c r="A615" s="48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64"/>
    </row>
    <row r="616" spans="1:13" ht="14.25" customHeight="1" x14ac:dyDescent="0.3">
      <c r="A616" s="48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64"/>
    </row>
    <row r="617" spans="1:13" ht="14.25" customHeight="1" x14ac:dyDescent="0.3">
      <c r="A617" s="48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64"/>
    </row>
    <row r="618" spans="1:13" ht="14.25" customHeight="1" x14ac:dyDescent="0.3">
      <c r="A618" s="48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64"/>
    </row>
    <row r="619" spans="1:13" ht="14.25" customHeight="1" x14ac:dyDescent="0.3">
      <c r="A619" s="48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64"/>
    </row>
    <row r="620" spans="1:13" ht="14.25" customHeight="1" x14ac:dyDescent="0.3">
      <c r="A620" s="48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64"/>
    </row>
    <row r="621" spans="1:13" ht="14.25" customHeight="1" x14ac:dyDescent="0.3">
      <c r="A621" s="48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64"/>
    </row>
    <row r="622" spans="1:13" ht="14.25" customHeight="1" x14ac:dyDescent="0.3">
      <c r="A622" s="48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64"/>
    </row>
    <row r="623" spans="1:13" ht="14.25" customHeight="1" x14ac:dyDescent="0.3">
      <c r="A623" s="48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64"/>
    </row>
    <row r="624" spans="1:13" ht="14.25" customHeight="1" x14ac:dyDescent="0.3">
      <c r="A624" s="48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64"/>
    </row>
    <row r="625" spans="1:13" ht="14.25" customHeight="1" x14ac:dyDescent="0.3">
      <c r="A625" s="48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64"/>
    </row>
    <row r="626" spans="1:13" ht="14.25" customHeight="1" x14ac:dyDescent="0.3">
      <c r="A626" s="48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64"/>
    </row>
    <row r="627" spans="1:13" ht="14.25" customHeight="1" x14ac:dyDescent="0.3">
      <c r="A627" s="48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64"/>
    </row>
    <row r="628" spans="1:13" ht="14.25" customHeight="1" x14ac:dyDescent="0.3">
      <c r="A628" s="48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64"/>
    </row>
    <row r="629" spans="1:13" ht="14.25" customHeight="1" x14ac:dyDescent="0.3">
      <c r="A629" s="48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64"/>
    </row>
    <row r="630" spans="1:13" ht="14.25" customHeight="1" x14ac:dyDescent="0.3">
      <c r="A630" s="48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64"/>
    </row>
    <row r="631" spans="1:13" ht="14.25" customHeight="1" x14ac:dyDescent="0.3">
      <c r="A631" s="48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64"/>
    </row>
    <row r="632" spans="1:13" ht="14.25" customHeight="1" x14ac:dyDescent="0.3">
      <c r="A632" s="48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64"/>
    </row>
    <row r="633" spans="1:13" ht="14.25" customHeight="1" x14ac:dyDescent="0.3">
      <c r="A633" s="48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64"/>
    </row>
    <row r="634" spans="1:13" ht="14.25" customHeight="1" x14ac:dyDescent="0.3">
      <c r="A634" s="48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64"/>
    </row>
    <row r="635" spans="1:13" ht="14.25" customHeight="1" x14ac:dyDescent="0.3">
      <c r="A635" s="48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64"/>
    </row>
    <row r="636" spans="1:13" ht="14.25" customHeight="1" x14ac:dyDescent="0.3">
      <c r="A636" s="48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64"/>
    </row>
    <row r="637" spans="1:13" ht="14.25" customHeight="1" x14ac:dyDescent="0.3">
      <c r="A637" s="48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64"/>
    </row>
    <row r="638" spans="1:13" ht="14.25" customHeight="1" x14ac:dyDescent="0.3">
      <c r="A638" s="48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64"/>
    </row>
    <row r="639" spans="1:13" ht="14.25" customHeight="1" x14ac:dyDescent="0.3">
      <c r="A639" s="48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64"/>
    </row>
    <row r="640" spans="1:13" ht="14.25" customHeight="1" x14ac:dyDescent="0.3">
      <c r="A640" s="48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64"/>
    </row>
    <row r="641" spans="1:13" ht="14.25" customHeight="1" x14ac:dyDescent="0.3">
      <c r="A641" s="48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64"/>
    </row>
    <row r="642" spans="1:13" ht="14.25" customHeight="1" x14ac:dyDescent="0.3">
      <c r="A642" s="48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64"/>
    </row>
    <row r="643" spans="1:13" ht="14.25" customHeight="1" x14ac:dyDescent="0.3">
      <c r="A643" s="48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64"/>
    </row>
    <row r="644" spans="1:13" ht="14.25" customHeight="1" x14ac:dyDescent="0.3">
      <c r="A644" s="48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64"/>
    </row>
    <row r="645" spans="1:13" ht="14.25" customHeight="1" x14ac:dyDescent="0.3">
      <c r="A645" s="48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64"/>
    </row>
    <row r="646" spans="1:13" ht="14.25" customHeight="1" x14ac:dyDescent="0.3">
      <c r="A646" s="48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64"/>
    </row>
    <row r="647" spans="1:13" ht="14.25" customHeight="1" x14ac:dyDescent="0.3">
      <c r="A647" s="48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64"/>
    </row>
    <row r="648" spans="1:13" ht="14.25" customHeight="1" x14ac:dyDescent="0.3">
      <c r="A648" s="48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64"/>
    </row>
    <row r="649" spans="1:13" ht="14.25" customHeight="1" x14ac:dyDescent="0.3">
      <c r="A649" s="48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64"/>
    </row>
    <row r="650" spans="1:13" ht="14.25" customHeight="1" x14ac:dyDescent="0.3">
      <c r="A650" s="48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64"/>
    </row>
    <row r="651" spans="1:13" ht="14.25" customHeight="1" x14ac:dyDescent="0.3">
      <c r="A651" s="48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64"/>
    </row>
    <row r="652" spans="1:13" ht="14.25" customHeight="1" x14ac:dyDescent="0.3">
      <c r="A652" s="48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64"/>
    </row>
    <row r="653" spans="1:13" ht="14.25" customHeight="1" x14ac:dyDescent="0.3">
      <c r="A653" s="48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64"/>
    </row>
    <row r="654" spans="1:13" ht="14.25" customHeight="1" x14ac:dyDescent="0.3">
      <c r="A654" s="48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64"/>
    </row>
    <row r="655" spans="1:13" ht="14.25" customHeight="1" x14ac:dyDescent="0.3">
      <c r="A655" s="48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64"/>
    </row>
    <row r="656" spans="1:13" ht="14.25" customHeight="1" x14ac:dyDescent="0.3">
      <c r="A656" s="48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64"/>
    </row>
    <row r="657" spans="1:13" ht="14.25" customHeight="1" x14ac:dyDescent="0.3">
      <c r="A657" s="48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64"/>
    </row>
    <row r="658" spans="1:13" ht="14.25" customHeight="1" x14ac:dyDescent="0.3">
      <c r="A658" s="48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64"/>
    </row>
    <row r="659" spans="1:13" ht="14.25" customHeight="1" x14ac:dyDescent="0.3">
      <c r="A659" s="48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64"/>
    </row>
    <row r="660" spans="1:13" ht="14.25" customHeight="1" x14ac:dyDescent="0.3">
      <c r="A660" s="48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64"/>
    </row>
    <row r="661" spans="1:13" ht="14.25" customHeight="1" x14ac:dyDescent="0.3">
      <c r="A661" s="48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64"/>
    </row>
    <row r="662" spans="1:13" ht="14.25" customHeight="1" x14ac:dyDescent="0.3">
      <c r="A662" s="48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64"/>
    </row>
    <row r="663" spans="1:13" ht="14.25" customHeight="1" x14ac:dyDescent="0.3">
      <c r="A663" s="48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64"/>
    </row>
    <row r="664" spans="1:13" ht="14.25" customHeight="1" x14ac:dyDescent="0.3">
      <c r="A664" s="48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64"/>
    </row>
    <row r="665" spans="1:13" ht="14.25" customHeight="1" x14ac:dyDescent="0.3">
      <c r="A665" s="48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64"/>
    </row>
    <row r="666" spans="1:13" ht="14.25" customHeight="1" x14ac:dyDescent="0.3">
      <c r="A666" s="48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64"/>
    </row>
    <row r="667" spans="1:13" ht="14.25" customHeight="1" x14ac:dyDescent="0.3">
      <c r="A667" s="48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64"/>
    </row>
    <row r="668" spans="1:13" ht="14.25" customHeight="1" x14ac:dyDescent="0.3">
      <c r="A668" s="48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64"/>
    </row>
    <row r="669" spans="1:13" ht="14.25" customHeight="1" x14ac:dyDescent="0.3">
      <c r="A669" s="48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64"/>
    </row>
    <row r="670" spans="1:13" ht="14.25" customHeight="1" x14ac:dyDescent="0.3">
      <c r="A670" s="48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64"/>
    </row>
    <row r="671" spans="1:13" ht="14.25" customHeight="1" x14ac:dyDescent="0.3">
      <c r="A671" s="48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64"/>
    </row>
    <row r="672" spans="1:13" ht="14.25" customHeight="1" x14ac:dyDescent="0.3">
      <c r="A672" s="48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64"/>
    </row>
    <row r="673" spans="1:13" ht="14.25" customHeight="1" x14ac:dyDescent="0.3">
      <c r="A673" s="48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64"/>
    </row>
    <row r="674" spans="1:13" ht="14.25" customHeight="1" x14ac:dyDescent="0.3">
      <c r="A674" s="48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64"/>
    </row>
    <row r="675" spans="1:13" ht="14.25" customHeight="1" x14ac:dyDescent="0.3">
      <c r="A675" s="48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64"/>
    </row>
    <row r="676" spans="1:13" ht="14.25" customHeight="1" x14ac:dyDescent="0.3">
      <c r="A676" s="48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64"/>
    </row>
    <row r="677" spans="1:13" ht="14.25" customHeight="1" x14ac:dyDescent="0.3">
      <c r="A677" s="48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64"/>
    </row>
    <row r="678" spans="1:13" ht="14.25" customHeight="1" x14ac:dyDescent="0.3">
      <c r="A678" s="48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64"/>
    </row>
    <row r="679" spans="1:13" ht="14.25" customHeight="1" x14ac:dyDescent="0.3">
      <c r="A679" s="48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64"/>
    </row>
    <row r="680" spans="1:13" ht="14.25" customHeight="1" x14ac:dyDescent="0.3">
      <c r="A680" s="48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64"/>
    </row>
    <row r="681" spans="1:13" ht="14.25" customHeight="1" x14ac:dyDescent="0.3">
      <c r="A681" s="48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64"/>
    </row>
    <row r="682" spans="1:13" ht="14.25" customHeight="1" x14ac:dyDescent="0.3">
      <c r="A682" s="48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64"/>
    </row>
    <row r="683" spans="1:13" ht="14.25" customHeight="1" x14ac:dyDescent="0.3">
      <c r="A683" s="48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64"/>
    </row>
    <row r="684" spans="1:13" ht="14.25" customHeight="1" x14ac:dyDescent="0.3">
      <c r="A684" s="48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64"/>
    </row>
    <row r="685" spans="1:13" ht="14.25" customHeight="1" x14ac:dyDescent="0.3">
      <c r="A685" s="48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64"/>
    </row>
    <row r="686" spans="1:13" ht="14.25" customHeight="1" x14ac:dyDescent="0.3">
      <c r="A686" s="48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64"/>
    </row>
    <row r="687" spans="1:13" ht="14.25" customHeight="1" x14ac:dyDescent="0.3">
      <c r="A687" s="48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64"/>
    </row>
    <row r="688" spans="1:13" ht="14.25" customHeight="1" x14ac:dyDescent="0.3">
      <c r="A688" s="48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64"/>
    </row>
    <row r="689" spans="1:13" ht="14.25" customHeight="1" x14ac:dyDescent="0.3">
      <c r="A689" s="48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64"/>
    </row>
    <row r="690" spans="1:13" ht="14.25" customHeight="1" x14ac:dyDescent="0.3">
      <c r="A690" s="48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64"/>
    </row>
    <row r="691" spans="1:13" ht="14.25" customHeight="1" x14ac:dyDescent="0.3">
      <c r="A691" s="48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64"/>
    </row>
    <row r="692" spans="1:13" ht="14.25" customHeight="1" x14ac:dyDescent="0.3">
      <c r="A692" s="48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64"/>
    </row>
    <row r="693" spans="1:13" ht="14.25" customHeight="1" x14ac:dyDescent="0.3">
      <c r="A693" s="48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64"/>
    </row>
    <row r="694" spans="1:13" ht="14.25" customHeight="1" x14ac:dyDescent="0.3">
      <c r="A694" s="48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64"/>
    </row>
    <row r="695" spans="1:13" ht="14.25" customHeight="1" x14ac:dyDescent="0.3">
      <c r="A695" s="48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64"/>
    </row>
    <row r="696" spans="1:13" ht="14.25" customHeight="1" x14ac:dyDescent="0.3">
      <c r="A696" s="48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64"/>
    </row>
    <row r="697" spans="1:13" ht="14.25" customHeight="1" x14ac:dyDescent="0.3">
      <c r="A697" s="48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64"/>
    </row>
    <row r="698" spans="1:13" ht="14.25" customHeight="1" x14ac:dyDescent="0.3">
      <c r="A698" s="48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64"/>
    </row>
    <row r="699" spans="1:13" ht="14.25" customHeight="1" x14ac:dyDescent="0.3">
      <c r="A699" s="48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64"/>
    </row>
    <row r="700" spans="1:13" ht="14.25" customHeight="1" x14ac:dyDescent="0.3">
      <c r="A700" s="48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64"/>
    </row>
    <row r="701" spans="1:13" ht="14.25" customHeight="1" x14ac:dyDescent="0.3">
      <c r="A701" s="48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64"/>
    </row>
    <row r="702" spans="1:13" ht="14.25" customHeight="1" x14ac:dyDescent="0.3">
      <c r="A702" s="48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64"/>
    </row>
    <row r="703" spans="1:13" ht="14.25" customHeight="1" x14ac:dyDescent="0.3">
      <c r="A703" s="48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64"/>
    </row>
    <row r="704" spans="1:13" ht="14.25" customHeight="1" x14ac:dyDescent="0.3">
      <c r="A704" s="48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64"/>
    </row>
    <row r="705" spans="1:13" ht="14.25" customHeight="1" x14ac:dyDescent="0.3">
      <c r="A705" s="48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64"/>
    </row>
    <row r="706" spans="1:13" ht="14.25" customHeight="1" x14ac:dyDescent="0.3">
      <c r="A706" s="48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64"/>
    </row>
    <row r="707" spans="1:13" ht="14.25" customHeight="1" x14ac:dyDescent="0.3">
      <c r="A707" s="48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64"/>
    </row>
    <row r="708" spans="1:13" ht="14.25" customHeight="1" x14ac:dyDescent="0.3">
      <c r="A708" s="48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64"/>
    </row>
    <row r="709" spans="1:13" ht="14.25" customHeight="1" x14ac:dyDescent="0.3">
      <c r="A709" s="48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64"/>
    </row>
    <row r="710" spans="1:13" ht="14.25" customHeight="1" x14ac:dyDescent="0.3">
      <c r="A710" s="48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64"/>
    </row>
    <row r="711" spans="1:13" ht="14.25" customHeight="1" x14ac:dyDescent="0.3">
      <c r="A711" s="48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64"/>
    </row>
    <row r="712" spans="1:13" ht="14.25" customHeight="1" x14ac:dyDescent="0.3">
      <c r="A712" s="48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64"/>
    </row>
    <row r="713" spans="1:13" ht="14.25" customHeight="1" x14ac:dyDescent="0.3">
      <c r="A713" s="48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64"/>
    </row>
    <row r="714" spans="1:13" ht="14.25" customHeight="1" x14ac:dyDescent="0.3">
      <c r="A714" s="48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64"/>
    </row>
    <row r="715" spans="1:13" ht="14.25" customHeight="1" x14ac:dyDescent="0.3">
      <c r="A715" s="48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64"/>
    </row>
    <row r="716" spans="1:13" ht="14.25" customHeight="1" x14ac:dyDescent="0.3">
      <c r="A716" s="48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64"/>
    </row>
    <row r="717" spans="1:13" ht="14.25" customHeight="1" x14ac:dyDescent="0.3">
      <c r="A717" s="48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64"/>
    </row>
    <row r="718" spans="1:13" ht="14.25" customHeight="1" x14ac:dyDescent="0.3">
      <c r="A718" s="48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64"/>
    </row>
    <row r="719" spans="1:13" ht="14.25" customHeight="1" x14ac:dyDescent="0.3">
      <c r="A719" s="48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64"/>
    </row>
    <row r="720" spans="1:13" ht="14.25" customHeight="1" x14ac:dyDescent="0.3">
      <c r="A720" s="48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64"/>
    </row>
    <row r="721" spans="1:13" ht="14.25" customHeight="1" x14ac:dyDescent="0.3">
      <c r="A721" s="48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64"/>
    </row>
    <row r="722" spans="1:13" ht="14.25" customHeight="1" x14ac:dyDescent="0.3">
      <c r="A722" s="48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64"/>
    </row>
    <row r="723" spans="1:13" ht="14.25" customHeight="1" x14ac:dyDescent="0.3">
      <c r="A723" s="48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64"/>
    </row>
    <row r="724" spans="1:13" ht="14.25" customHeight="1" x14ac:dyDescent="0.3">
      <c r="A724" s="48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64"/>
    </row>
    <row r="725" spans="1:13" ht="14.25" customHeight="1" x14ac:dyDescent="0.3">
      <c r="A725" s="48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64"/>
    </row>
    <row r="726" spans="1:13" ht="14.25" customHeight="1" x14ac:dyDescent="0.3">
      <c r="A726" s="48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64"/>
    </row>
    <row r="727" spans="1:13" ht="14.25" customHeight="1" x14ac:dyDescent="0.3">
      <c r="A727" s="48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64"/>
    </row>
    <row r="728" spans="1:13" ht="14.25" customHeight="1" x14ac:dyDescent="0.3">
      <c r="A728" s="48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64"/>
    </row>
    <row r="729" spans="1:13" ht="14.25" customHeight="1" x14ac:dyDescent="0.3">
      <c r="A729" s="48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64"/>
    </row>
    <row r="730" spans="1:13" ht="14.25" customHeight="1" x14ac:dyDescent="0.3">
      <c r="A730" s="48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64"/>
    </row>
    <row r="731" spans="1:13" ht="14.25" customHeight="1" x14ac:dyDescent="0.3">
      <c r="A731" s="48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64"/>
    </row>
    <row r="732" spans="1:13" ht="14.25" customHeight="1" x14ac:dyDescent="0.3">
      <c r="A732" s="48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64"/>
    </row>
    <row r="733" spans="1:13" ht="14.25" customHeight="1" x14ac:dyDescent="0.3">
      <c r="A733" s="48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64"/>
    </row>
    <row r="734" spans="1:13" ht="14.25" customHeight="1" x14ac:dyDescent="0.3">
      <c r="A734" s="48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64"/>
    </row>
    <row r="735" spans="1:13" ht="14.25" customHeight="1" x14ac:dyDescent="0.3">
      <c r="A735" s="48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64"/>
    </row>
    <row r="736" spans="1:13" ht="14.25" customHeight="1" x14ac:dyDescent="0.3">
      <c r="A736" s="48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64"/>
    </row>
    <row r="737" spans="1:13" ht="14.25" customHeight="1" x14ac:dyDescent="0.3">
      <c r="A737" s="48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64"/>
    </row>
    <row r="738" spans="1:13" ht="14.25" customHeight="1" x14ac:dyDescent="0.3">
      <c r="A738" s="48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64"/>
    </row>
    <row r="739" spans="1:13" ht="14.25" customHeight="1" x14ac:dyDescent="0.3">
      <c r="A739" s="48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64"/>
    </row>
    <row r="740" spans="1:13" ht="14.25" customHeight="1" x14ac:dyDescent="0.3">
      <c r="A740" s="48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64"/>
    </row>
    <row r="741" spans="1:13" ht="14.25" customHeight="1" x14ac:dyDescent="0.3">
      <c r="A741" s="48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64"/>
    </row>
    <row r="742" spans="1:13" ht="14.25" customHeight="1" x14ac:dyDescent="0.3">
      <c r="A742" s="48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64"/>
    </row>
    <row r="743" spans="1:13" ht="14.25" customHeight="1" x14ac:dyDescent="0.3">
      <c r="A743" s="48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64"/>
    </row>
    <row r="744" spans="1:13" ht="14.25" customHeight="1" x14ac:dyDescent="0.3">
      <c r="A744" s="48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64"/>
    </row>
    <row r="745" spans="1:13" ht="14.25" customHeight="1" x14ac:dyDescent="0.3">
      <c r="A745" s="48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64"/>
    </row>
    <row r="746" spans="1:13" ht="14.25" customHeight="1" x14ac:dyDescent="0.3">
      <c r="A746" s="48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64"/>
    </row>
    <row r="747" spans="1:13" ht="14.25" customHeight="1" x14ac:dyDescent="0.3">
      <c r="A747" s="48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64"/>
    </row>
    <row r="748" spans="1:13" ht="14.25" customHeight="1" x14ac:dyDescent="0.3">
      <c r="A748" s="48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64"/>
    </row>
    <row r="749" spans="1:13" ht="14.25" customHeight="1" x14ac:dyDescent="0.3">
      <c r="A749" s="48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64"/>
    </row>
    <row r="750" spans="1:13" ht="14.25" customHeight="1" x14ac:dyDescent="0.3">
      <c r="A750" s="48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64"/>
    </row>
    <row r="751" spans="1:13" ht="14.25" customHeight="1" x14ac:dyDescent="0.3">
      <c r="A751" s="48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64"/>
    </row>
    <row r="752" spans="1:13" ht="14.25" customHeight="1" x14ac:dyDescent="0.3">
      <c r="A752" s="48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64"/>
    </row>
    <row r="753" spans="1:13" ht="14.25" customHeight="1" x14ac:dyDescent="0.3">
      <c r="A753" s="48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64"/>
    </row>
    <row r="754" spans="1:13" ht="14.25" customHeight="1" x14ac:dyDescent="0.3">
      <c r="A754" s="48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64"/>
    </row>
    <row r="755" spans="1:13" ht="14.25" customHeight="1" x14ac:dyDescent="0.3">
      <c r="A755" s="48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64"/>
    </row>
    <row r="756" spans="1:13" ht="14.25" customHeight="1" x14ac:dyDescent="0.3">
      <c r="A756" s="48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64"/>
    </row>
    <row r="757" spans="1:13" ht="14.25" customHeight="1" x14ac:dyDescent="0.3">
      <c r="A757" s="48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64"/>
    </row>
    <row r="758" spans="1:13" ht="14.25" customHeight="1" x14ac:dyDescent="0.3">
      <c r="A758" s="48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64"/>
    </row>
    <row r="759" spans="1:13" ht="14.25" customHeight="1" x14ac:dyDescent="0.3">
      <c r="A759" s="48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64"/>
    </row>
    <row r="760" spans="1:13" ht="14.25" customHeight="1" x14ac:dyDescent="0.3">
      <c r="A760" s="48"/>
      <c r="B760" s="45"/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M760" s="64"/>
    </row>
    <row r="761" spans="1:13" ht="14.25" customHeight="1" x14ac:dyDescent="0.3">
      <c r="A761" s="48"/>
      <c r="B761" s="45"/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M761" s="64"/>
    </row>
    <row r="762" spans="1:13" ht="14.25" customHeight="1" x14ac:dyDescent="0.3">
      <c r="A762" s="48"/>
      <c r="B762" s="45"/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M762" s="64"/>
    </row>
    <row r="763" spans="1:13" ht="14.25" customHeight="1" x14ac:dyDescent="0.3">
      <c r="A763" s="48"/>
      <c r="B763" s="45"/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M763" s="64"/>
    </row>
    <row r="764" spans="1:13" ht="14.25" customHeight="1" x14ac:dyDescent="0.3">
      <c r="A764" s="48"/>
      <c r="B764" s="45"/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M764" s="64"/>
    </row>
    <row r="765" spans="1:13" ht="14.25" customHeight="1" x14ac:dyDescent="0.3">
      <c r="A765" s="48"/>
      <c r="B765" s="45"/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M765" s="64"/>
    </row>
    <row r="766" spans="1:13" ht="14.25" customHeight="1" x14ac:dyDescent="0.3">
      <c r="A766" s="48"/>
      <c r="B766" s="45"/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M766" s="64"/>
    </row>
    <row r="767" spans="1:13" ht="14.25" customHeight="1" x14ac:dyDescent="0.3">
      <c r="A767" s="48"/>
      <c r="B767" s="45"/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M767" s="64"/>
    </row>
    <row r="768" spans="1:13" ht="14.25" customHeight="1" x14ac:dyDescent="0.3">
      <c r="A768" s="48"/>
      <c r="B768" s="45"/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M768" s="64"/>
    </row>
    <row r="769" spans="1:13" ht="14.25" customHeight="1" x14ac:dyDescent="0.3">
      <c r="A769" s="48"/>
      <c r="B769" s="45"/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M769" s="64"/>
    </row>
    <row r="770" spans="1:13" ht="14.25" customHeight="1" x14ac:dyDescent="0.3">
      <c r="A770" s="48"/>
      <c r="B770" s="45"/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M770" s="64"/>
    </row>
    <row r="771" spans="1:13" ht="14.25" customHeight="1" x14ac:dyDescent="0.3">
      <c r="A771" s="48"/>
      <c r="B771" s="45"/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M771" s="64"/>
    </row>
    <row r="772" spans="1:13" ht="14.25" customHeight="1" x14ac:dyDescent="0.3">
      <c r="A772" s="48"/>
      <c r="B772" s="45"/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M772" s="64"/>
    </row>
    <row r="773" spans="1:13" ht="14.25" customHeight="1" x14ac:dyDescent="0.3">
      <c r="A773" s="48"/>
      <c r="B773" s="45"/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M773" s="64"/>
    </row>
    <row r="774" spans="1:13" ht="14.25" customHeight="1" x14ac:dyDescent="0.3">
      <c r="A774" s="48"/>
      <c r="B774" s="45"/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M774" s="64"/>
    </row>
    <row r="775" spans="1:13" ht="14.25" customHeight="1" x14ac:dyDescent="0.3">
      <c r="A775" s="48"/>
      <c r="B775" s="45"/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M775" s="64"/>
    </row>
    <row r="776" spans="1:13" ht="14.25" customHeight="1" x14ac:dyDescent="0.3">
      <c r="A776" s="48"/>
      <c r="B776" s="45"/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M776" s="64"/>
    </row>
    <row r="777" spans="1:13" ht="14.25" customHeight="1" x14ac:dyDescent="0.3">
      <c r="A777" s="48"/>
      <c r="B777" s="45"/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M777" s="64"/>
    </row>
    <row r="778" spans="1:13" ht="14.25" customHeight="1" x14ac:dyDescent="0.3">
      <c r="A778" s="48"/>
      <c r="B778" s="45"/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M778" s="64"/>
    </row>
    <row r="779" spans="1:13" ht="14.25" customHeight="1" x14ac:dyDescent="0.3">
      <c r="A779" s="48"/>
      <c r="B779" s="45"/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M779" s="64"/>
    </row>
    <row r="780" spans="1:13" ht="14.25" customHeight="1" x14ac:dyDescent="0.3">
      <c r="A780" s="48"/>
      <c r="B780" s="45"/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M780" s="64"/>
    </row>
    <row r="781" spans="1:13" ht="14.25" customHeight="1" x14ac:dyDescent="0.3">
      <c r="A781" s="48"/>
      <c r="B781" s="45"/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M781" s="64"/>
    </row>
    <row r="782" spans="1:13" ht="14.25" customHeight="1" x14ac:dyDescent="0.3">
      <c r="A782" s="48"/>
      <c r="B782" s="45"/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M782" s="64"/>
    </row>
    <row r="783" spans="1:13" ht="14.25" customHeight="1" x14ac:dyDescent="0.3">
      <c r="A783" s="48"/>
      <c r="B783" s="45"/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M783" s="64"/>
    </row>
    <row r="784" spans="1:13" ht="14.25" customHeight="1" x14ac:dyDescent="0.3">
      <c r="A784" s="48"/>
      <c r="B784" s="45"/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M784" s="64"/>
    </row>
    <row r="785" spans="1:13" ht="14.25" customHeight="1" x14ac:dyDescent="0.3">
      <c r="A785" s="48"/>
      <c r="B785" s="45"/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M785" s="64"/>
    </row>
    <row r="786" spans="1:13" ht="14.25" customHeight="1" x14ac:dyDescent="0.3">
      <c r="A786" s="48"/>
      <c r="B786" s="45"/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M786" s="64"/>
    </row>
    <row r="787" spans="1:13" ht="14.25" customHeight="1" x14ac:dyDescent="0.3">
      <c r="A787" s="48"/>
      <c r="B787" s="45"/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M787" s="64"/>
    </row>
    <row r="788" spans="1:13" ht="14.25" customHeight="1" x14ac:dyDescent="0.3">
      <c r="A788" s="48"/>
      <c r="B788" s="45"/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M788" s="64"/>
    </row>
    <row r="789" spans="1:13" ht="14.25" customHeight="1" x14ac:dyDescent="0.3">
      <c r="A789" s="48"/>
      <c r="B789" s="45"/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M789" s="64"/>
    </row>
    <row r="790" spans="1:13" ht="14.25" customHeight="1" x14ac:dyDescent="0.3">
      <c r="A790" s="48"/>
      <c r="B790" s="45"/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M790" s="64"/>
    </row>
    <row r="791" spans="1:13" ht="14.25" customHeight="1" x14ac:dyDescent="0.3">
      <c r="A791" s="48"/>
      <c r="B791" s="45"/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M791" s="64"/>
    </row>
    <row r="792" spans="1:13" ht="14.25" customHeight="1" x14ac:dyDescent="0.3">
      <c r="A792" s="48"/>
      <c r="B792" s="45"/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M792" s="64"/>
    </row>
    <row r="793" spans="1:13" ht="14.25" customHeight="1" x14ac:dyDescent="0.3">
      <c r="A793" s="48"/>
      <c r="B793" s="45"/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M793" s="64"/>
    </row>
    <row r="794" spans="1:13" ht="14.25" customHeight="1" x14ac:dyDescent="0.3">
      <c r="A794" s="48"/>
      <c r="B794" s="45"/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M794" s="64"/>
    </row>
    <row r="795" spans="1:13" ht="14.25" customHeight="1" x14ac:dyDescent="0.3">
      <c r="A795" s="48"/>
      <c r="B795" s="45"/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M795" s="64"/>
    </row>
    <row r="796" spans="1:13" ht="14.25" customHeight="1" x14ac:dyDescent="0.3">
      <c r="A796" s="48"/>
      <c r="B796" s="45"/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M796" s="64"/>
    </row>
    <row r="797" spans="1:13" ht="14.25" customHeight="1" x14ac:dyDescent="0.3">
      <c r="A797" s="48"/>
      <c r="B797" s="45"/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M797" s="64"/>
    </row>
    <row r="798" spans="1:13" ht="14.25" customHeight="1" x14ac:dyDescent="0.3">
      <c r="A798" s="48"/>
      <c r="B798" s="45"/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M798" s="64"/>
    </row>
    <row r="799" spans="1:13" ht="14.25" customHeight="1" x14ac:dyDescent="0.3">
      <c r="A799" s="48"/>
      <c r="B799" s="45"/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M799" s="64"/>
    </row>
    <row r="800" spans="1:13" ht="14.25" customHeight="1" x14ac:dyDescent="0.3">
      <c r="A800" s="48"/>
      <c r="B800" s="45"/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M800" s="64"/>
    </row>
    <row r="801" spans="1:13" ht="14.25" customHeight="1" x14ac:dyDescent="0.3">
      <c r="A801" s="48"/>
      <c r="B801" s="45"/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M801" s="64"/>
    </row>
    <row r="802" spans="1:13" ht="14.25" customHeight="1" x14ac:dyDescent="0.3">
      <c r="A802" s="48"/>
      <c r="B802" s="45"/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M802" s="64"/>
    </row>
    <row r="803" spans="1:13" ht="14.25" customHeight="1" x14ac:dyDescent="0.3">
      <c r="A803" s="48"/>
      <c r="B803" s="45"/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M803" s="64"/>
    </row>
    <row r="804" spans="1:13" ht="14.25" customHeight="1" x14ac:dyDescent="0.3">
      <c r="A804" s="48"/>
      <c r="B804" s="45"/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M804" s="64"/>
    </row>
    <row r="805" spans="1:13" ht="14.25" customHeight="1" x14ac:dyDescent="0.3">
      <c r="A805" s="48"/>
      <c r="B805" s="45"/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M805" s="64"/>
    </row>
    <row r="806" spans="1:13" ht="14.25" customHeight="1" x14ac:dyDescent="0.3">
      <c r="A806" s="48"/>
      <c r="B806" s="45"/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M806" s="64"/>
    </row>
    <row r="807" spans="1:13" ht="14.25" customHeight="1" x14ac:dyDescent="0.3">
      <c r="A807" s="48"/>
      <c r="B807" s="45"/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M807" s="64"/>
    </row>
    <row r="808" spans="1:13" ht="14.25" customHeight="1" x14ac:dyDescent="0.3">
      <c r="A808" s="48"/>
      <c r="B808" s="45"/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M808" s="64"/>
    </row>
    <row r="809" spans="1:13" ht="14.25" customHeight="1" x14ac:dyDescent="0.3">
      <c r="A809" s="48"/>
      <c r="B809" s="45"/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M809" s="64"/>
    </row>
    <row r="810" spans="1:13" ht="14.25" customHeight="1" x14ac:dyDescent="0.3">
      <c r="A810" s="48"/>
      <c r="B810" s="45"/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M810" s="64"/>
    </row>
    <row r="811" spans="1:13" ht="14.25" customHeight="1" x14ac:dyDescent="0.3">
      <c r="A811" s="48"/>
      <c r="B811" s="45"/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M811" s="64"/>
    </row>
    <row r="812" spans="1:13" ht="14.25" customHeight="1" x14ac:dyDescent="0.3">
      <c r="A812" s="48"/>
      <c r="B812" s="45"/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M812" s="64"/>
    </row>
    <row r="813" spans="1:13" ht="14.25" customHeight="1" x14ac:dyDescent="0.3">
      <c r="A813" s="48"/>
      <c r="B813" s="45"/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M813" s="64"/>
    </row>
    <row r="814" spans="1:13" ht="14.25" customHeight="1" x14ac:dyDescent="0.3">
      <c r="A814" s="48"/>
      <c r="B814" s="45"/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M814" s="64"/>
    </row>
    <row r="815" spans="1:13" ht="14.25" customHeight="1" x14ac:dyDescent="0.3">
      <c r="A815" s="48"/>
      <c r="B815" s="45"/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M815" s="64"/>
    </row>
    <row r="816" spans="1:13" ht="14.25" customHeight="1" x14ac:dyDescent="0.3">
      <c r="A816" s="48"/>
      <c r="B816" s="45"/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M816" s="64"/>
    </row>
    <row r="817" spans="1:13" ht="14.25" customHeight="1" x14ac:dyDescent="0.3">
      <c r="A817" s="48"/>
      <c r="B817" s="45"/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M817" s="64"/>
    </row>
    <row r="818" spans="1:13" ht="14.25" customHeight="1" x14ac:dyDescent="0.3">
      <c r="A818" s="48"/>
      <c r="B818" s="45"/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M818" s="64"/>
    </row>
    <row r="819" spans="1:13" ht="14.25" customHeight="1" x14ac:dyDescent="0.3">
      <c r="A819" s="48"/>
      <c r="B819" s="45"/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M819" s="64"/>
    </row>
    <row r="820" spans="1:13" ht="14.25" customHeight="1" x14ac:dyDescent="0.3">
      <c r="A820" s="48"/>
      <c r="B820" s="45"/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M820" s="64"/>
    </row>
    <row r="821" spans="1:13" ht="14.25" customHeight="1" x14ac:dyDescent="0.3">
      <c r="A821" s="48"/>
      <c r="B821" s="45"/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M821" s="64"/>
    </row>
    <row r="822" spans="1:13" ht="14.25" customHeight="1" x14ac:dyDescent="0.3">
      <c r="A822" s="48"/>
      <c r="B822" s="45"/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M822" s="64"/>
    </row>
    <row r="823" spans="1:13" ht="14.25" customHeight="1" x14ac:dyDescent="0.3">
      <c r="A823" s="48"/>
      <c r="B823" s="45"/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M823" s="64"/>
    </row>
    <row r="824" spans="1:13" ht="14.25" customHeight="1" x14ac:dyDescent="0.3">
      <c r="A824" s="48"/>
      <c r="B824" s="45"/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M824" s="64"/>
    </row>
    <row r="825" spans="1:13" ht="14.25" customHeight="1" x14ac:dyDescent="0.3">
      <c r="A825" s="48"/>
      <c r="B825" s="45"/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M825" s="64"/>
    </row>
    <row r="826" spans="1:13" ht="14.25" customHeight="1" x14ac:dyDescent="0.3">
      <c r="A826" s="48"/>
      <c r="B826" s="45"/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M826" s="64"/>
    </row>
    <row r="827" spans="1:13" ht="14.25" customHeight="1" x14ac:dyDescent="0.3">
      <c r="A827" s="48"/>
      <c r="B827" s="45"/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M827" s="64"/>
    </row>
    <row r="828" spans="1:13" ht="14.25" customHeight="1" x14ac:dyDescent="0.3">
      <c r="A828" s="48"/>
      <c r="B828" s="45"/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M828" s="64"/>
    </row>
    <row r="829" spans="1:13" ht="14.25" customHeight="1" x14ac:dyDescent="0.3">
      <c r="A829" s="48"/>
      <c r="B829" s="45"/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M829" s="64"/>
    </row>
    <row r="830" spans="1:13" ht="14.25" customHeight="1" x14ac:dyDescent="0.3">
      <c r="A830" s="48"/>
      <c r="B830" s="45"/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M830" s="64"/>
    </row>
    <row r="831" spans="1:13" ht="14.25" customHeight="1" x14ac:dyDescent="0.3">
      <c r="A831" s="48"/>
      <c r="B831" s="45"/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M831" s="64"/>
    </row>
    <row r="832" spans="1:13" ht="14.25" customHeight="1" x14ac:dyDescent="0.3">
      <c r="A832" s="48"/>
      <c r="B832" s="45"/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M832" s="64"/>
    </row>
    <row r="833" spans="1:13" ht="14.25" customHeight="1" x14ac:dyDescent="0.3">
      <c r="A833" s="48"/>
      <c r="B833" s="45"/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M833" s="64"/>
    </row>
    <row r="834" spans="1:13" ht="14.25" customHeight="1" x14ac:dyDescent="0.3">
      <c r="A834" s="48"/>
      <c r="B834" s="45"/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M834" s="64"/>
    </row>
    <row r="835" spans="1:13" ht="14.25" customHeight="1" x14ac:dyDescent="0.3">
      <c r="A835" s="48"/>
      <c r="B835" s="45"/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M835" s="64"/>
    </row>
    <row r="836" spans="1:13" ht="14.25" customHeight="1" x14ac:dyDescent="0.3">
      <c r="A836" s="48"/>
      <c r="B836" s="45"/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M836" s="64"/>
    </row>
    <row r="837" spans="1:13" ht="14.25" customHeight="1" x14ac:dyDescent="0.3">
      <c r="A837" s="48"/>
      <c r="B837" s="45"/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M837" s="64"/>
    </row>
    <row r="838" spans="1:13" ht="14.25" customHeight="1" x14ac:dyDescent="0.3">
      <c r="A838" s="48"/>
      <c r="B838" s="45"/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M838" s="64"/>
    </row>
    <row r="839" spans="1:13" ht="14.25" customHeight="1" x14ac:dyDescent="0.3">
      <c r="A839" s="48"/>
      <c r="B839" s="45"/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M839" s="64"/>
    </row>
    <row r="840" spans="1:13" ht="14.25" customHeight="1" x14ac:dyDescent="0.3">
      <c r="A840" s="48"/>
      <c r="B840" s="45"/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M840" s="64"/>
    </row>
    <row r="841" spans="1:13" ht="14.25" customHeight="1" x14ac:dyDescent="0.3">
      <c r="A841" s="48"/>
      <c r="B841" s="45"/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M841" s="64"/>
    </row>
    <row r="842" spans="1:13" ht="14.25" customHeight="1" x14ac:dyDescent="0.3">
      <c r="A842" s="48"/>
      <c r="B842" s="45"/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M842" s="64"/>
    </row>
    <row r="843" spans="1:13" ht="14.25" customHeight="1" x14ac:dyDescent="0.3">
      <c r="A843" s="48"/>
      <c r="B843" s="45"/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M843" s="64"/>
    </row>
    <row r="844" spans="1:13" ht="14.25" customHeight="1" x14ac:dyDescent="0.3">
      <c r="A844" s="48"/>
      <c r="B844" s="45"/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M844" s="64"/>
    </row>
    <row r="845" spans="1:13" ht="14.25" customHeight="1" x14ac:dyDescent="0.3">
      <c r="A845" s="48"/>
      <c r="B845" s="45"/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M845" s="64"/>
    </row>
    <row r="846" spans="1:13" ht="14.25" customHeight="1" x14ac:dyDescent="0.3">
      <c r="A846" s="48"/>
      <c r="B846" s="45"/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M846" s="64"/>
    </row>
    <row r="847" spans="1:13" ht="14.25" customHeight="1" x14ac:dyDescent="0.3">
      <c r="A847" s="48"/>
      <c r="B847" s="45"/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M847" s="64"/>
    </row>
    <row r="848" spans="1:13" ht="14.25" customHeight="1" x14ac:dyDescent="0.3">
      <c r="A848" s="48"/>
      <c r="B848" s="45"/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M848" s="64"/>
    </row>
    <row r="849" spans="1:13" ht="14.25" customHeight="1" x14ac:dyDescent="0.3">
      <c r="A849" s="48"/>
      <c r="B849" s="45"/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M849" s="64"/>
    </row>
    <row r="850" spans="1:13" ht="14.25" customHeight="1" x14ac:dyDescent="0.3">
      <c r="A850" s="48"/>
      <c r="B850" s="45"/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M850" s="64"/>
    </row>
    <row r="851" spans="1:13" ht="14.25" customHeight="1" x14ac:dyDescent="0.3">
      <c r="A851" s="48"/>
      <c r="B851" s="45"/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M851" s="64"/>
    </row>
    <row r="852" spans="1:13" ht="14.25" customHeight="1" x14ac:dyDescent="0.3">
      <c r="A852" s="48"/>
      <c r="B852" s="45"/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M852" s="64"/>
    </row>
    <row r="853" spans="1:13" ht="14.25" customHeight="1" x14ac:dyDescent="0.3">
      <c r="A853" s="48"/>
      <c r="B853" s="45"/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M853" s="64"/>
    </row>
    <row r="854" spans="1:13" ht="14.25" customHeight="1" x14ac:dyDescent="0.3">
      <c r="A854" s="48"/>
      <c r="B854" s="45"/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M854" s="64"/>
    </row>
    <row r="855" spans="1:13" ht="14.25" customHeight="1" x14ac:dyDescent="0.3">
      <c r="A855" s="48"/>
      <c r="B855" s="45"/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M855" s="64"/>
    </row>
    <row r="856" spans="1:13" ht="14.25" customHeight="1" x14ac:dyDescent="0.3">
      <c r="A856" s="48"/>
      <c r="B856" s="45"/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M856" s="64"/>
    </row>
    <row r="857" spans="1:13" ht="14.25" customHeight="1" x14ac:dyDescent="0.3">
      <c r="A857" s="48"/>
      <c r="B857" s="45"/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M857" s="64"/>
    </row>
    <row r="858" spans="1:13" ht="14.25" customHeight="1" x14ac:dyDescent="0.3">
      <c r="A858" s="48"/>
      <c r="B858" s="45"/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M858" s="64"/>
    </row>
    <row r="859" spans="1:13" ht="14.25" customHeight="1" x14ac:dyDescent="0.3">
      <c r="A859" s="48"/>
      <c r="B859" s="45"/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M859" s="64"/>
    </row>
    <row r="860" spans="1:13" ht="14.25" customHeight="1" x14ac:dyDescent="0.3">
      <c r="A860" s="48"/>
      <c r="B860" s="45"/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M860" s="64"/>
    </row>
    <row r="861" spans="1:13" ht="14.25" customHeight="1" x14ac:dyDescent="0.3">
      <c r="A861" s="48"/>
      <c r="B861" s="45"/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M861" s="64"/>
    </row>
    <row r="862" spans="1:13" ht="14.25" customHeight="1" x14ac:dyDescent="0.3">
      <c r="A862" s="48"/>
      <c r="B862" s="45"/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M862" s="64"/>
    </row>
    <row r="863" spans="1:13" ht="14.25" customHeight="1" x14ac:dyDescent="0.3">
      <c r="A863" s="48"/>
      <c r="B863" s="45"/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M863" s="64"/>
    </row>
    <row r="864" spans="1:13" ht="14.25" customHeight="1" x14ac:dyDescent="0.3">
      <c r="A864" s="48"/>
      <c r="B864" s="45"/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M864" s="64"/>
    </row>
    <row r="865" spans="1:13" ht="14.25" customHeight="1" x14ac:dyDescent="0.3">
      <c r="A865" s="48"/>
      <c r="B865" s="45"/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M865" s="64"/>
    </row>
    <row r="866" spans="1:13" ht="14.25" customHeight="1" x14ac:dyDescent="0.3">
      <c r="A866" s="48"/>
      <c r="B866" s="45"/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M866" s="64"/>
    </row>
    <row r="867" spans="1:13" ht="14.25" customHeight="1" x14ac:dyDescent="0.3">
      <c r="A867" s="48"/>
      <c r="B867" s="45"/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M867" s="64"/>
    </row>
    <row r="868" spans="1:13" ht="14.25" customHeight="1" x14ac:dyDescent="0.3">
      <c r="A868" s="48"/>
      <c r="B868" s="45"/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M868" s="64"/>
    </row>
    <row r="869" spans="1:13" ht="14.25" customHeight="1" x14ac:dyDescent="0.3">
      <c r="A869" s="48"/>
      <c r="B869" s="45"/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M869" s="64"/>
    </row>
    <row r="870" spans="1:13" ht="14.25" customHeight="1" x14ac:dyDescent="0.3">
      <c r="A870" s="48"/>
      <c r="B870" s="45"/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M870" s="64"/>
    </row>
    <row r="871" spans="1:13" ht="14.25" customHeight="1" x14ac:dyDescent="0.3">
      <c r="A871" s="48"/>
      <c r="B871" s="45"/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M871" s="64"/>
    </row>
    <row r="872" spans="1:13" ht="14.25" customHeight="1" x14ac:dyDescent="0.3">
      <c r="A872" s="48"/>
      <c r="B872" s="45"/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M872" s="64"/>
    </row>
    <row r="873" spans="1:13" ht="14.25" customHeight="1" x14ac:dyDescent="0.3">
      <c r="A873" s="48"/>
      <c r="B873" s="45"/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M873" s="64"/>
    </row>
    <row r="874" spans="1:13" ht="14.25" customHeight="1" x14ac:dyDescent="0.3">
      <c r="A874" s="48"/>
      <c r="B874" s="45"/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M874" s="64"/>
    </row>
    <row r="875" spans="1:13" ht="14.25" customHeight="1" x14ac:dyDescent="0.3">
      <c r="A875" s="48"/>
      <c r="B875" s="45"/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M875" s="64"/>
    </row>
    <row r="876" spans="1:13" ht="14.25" customHeight="1" x14ac:dyDescent="0.3">
      <c r="A876" s="48"/>
      <c r="B876" s="45"/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M876" s="64"/>
    </row>
    <row r="877" spans="1:13" ht="14.25" customHeight="1" x14ac:dyDescent="0.3">
      <c r="A877" s="48"/>
      <c r="B877" s="45"/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M877" s="64"/>
    </row>
    <row r="878" spans="1:13" ht="14.25" customHeight="1" x14ac:dyDescent="0.3">
      <c r="A878" s="48"/>
      <c r="B878" s="45"/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M878" s="64"/>
    </row>
    <row r="879" spans="1:13" ht="14.25" customHeight="1" x14ac:dyDescent="0.3">
      <c r="A879" s="48"/>
      <c r="B879" s="45"/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M879" s="64"/>
    </row>
    <row r="880" spans="1:13" ht="14.25" customHeight="1" x14ac:dyDescent="0.3">
      <c r="A880" s="48"/>
      <c r="B880" s="45"/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M880" s="64"/>
    </row>
    <row r="881" spans="1:13" ht="14.25" customHeight="1" x14ac:dyDescent="0.3">
      <c r="A881" s="48"/>
      <c r="B881" s="45"/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M881" s="64"/>
    </row>
    <row r="882" spans="1:13" ht="14.25" customHeight="1" x14ac:dyDescent="0.3">
      <c r="A882" s="48"/>
      <c r="B882" s="45"/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M882" s="64"/>
    </row>
    <row r="883" spans="1:13" ht="14.25" customHeight="1" x14ac:dyDescent="0.3">
      <c r="A883" s="48"/>
      <c r="B883" s="45"/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M883" s="64"/>
    </row>
    <row r="884" spans="1:13" ht="14.25" customHeight="1" x14ac:dyDescent="0.3">
      <c r="A884" s="48"/>
      <c r="B884" s="45"/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M884" s="64"/>
    </row>
    <row r="885" spans="1:13" ht="14.25" customHeight="1" x14ac:dyDescent="0.3">
      <c r="A885" s="48"/>
      <c r="B885" s="45"/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M885" s="64"/>
    </row>
    <row r="886" spans="1:13" ht="14.25" customHeight="1" x14ac:dyDescent="0.3">
      <c r="A886" s="48"/>
      <c r="B886" s="45"/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M886" s="64"/>
    </row>
    <row r="887" spans="1:13" ht="14.25" customHeight="1" x14ac:dyDescent="0.3">
      <c r="A887" s="48"/>
      <c r="B887" s="45"/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M887" s="64"/>
    </row>
    <row r="888" spans="1:13" ht="14.25" customHeight="1" x14ac:dyDescent="0.3">
      <c r="A888" s="48"/>
      <c r="B888" s="45"/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M888" s="64"/>
    </row>
    <row r="889" spans="1:13" ht="14.25" customHeight="1" x14ac:dyDescent="0.3">
      <c r="A889" s="48"/>
      <c r="B889" s="45"/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M889" s="64"/>
    </row>
    <row r="890" spans="1:13" ht="14.25" customHeight="1" x14ac:dyDescent="0.3">
      <c r="A890" s="48"/>
      <c r="B890" s="45"/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M890" s="64"/>
    </row>
    <row r="891" spans="1:13" ht="14.25" customHeight="1" x14ac:dyDescent="0.3">
      <c r="A891" s="48"/>
      <c r="B891" s="45"/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M891" s="64"/>
    </row>
    <row r="892" spans="1:13" ht="14.25" customHeight="1" x14ac:dyDescent="0.3">
      <c r="A892" s="48"/>
      <c r="B892" s="45"/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M892" s="64"/>
    </row>
    <row r="893" spans="1:13" ht="14.25" customHeight="1" x14ac:dyDescent="0.3">
      <c r="A893" s="48"/>
      <c r="B893" s="45"/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M893" s="64"/>
    </row>
    <row r="894" spans="1:13" ht="14.25" customHeight="1" x14ac:dyDescent="0.3">
      <c r="A894" s="48"/>
      <c r="B894" s="45"/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M894" s="64"/>
    </row>
    <row r="895" spans="1:13" ht="14.25" customHeight="1" x14ac:dyDescent="0.3">
      <c r="A895" s="48"/>
      <c r="B895" s="45"/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M895" s="64"/>
    </row>
    <row r="896" spans="1:13" ht="14.25" customHeight="1" x14ac:dyDescent="0.3">
      <c r="A896" s="48"/>
      <c r="B896" s="45"/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M896" s="64"/>
    </row>
    <row r="897" spans="1:13" ht="14.25" customHeight="1" x14ac:dyDescent="0.3">
      <c r="A897" s="48"/>
      <c r="B897" s="45"/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M897" s="64"/>
    </row>
    <row r="898" spans="1:13" ht="14.25" customHeight="1" x14ac:dyDescent="0.3">
      <c r="A898" s="48"/>
      <c r="B898" s="45"/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M898" s="64"/>
    </row>
    <row r="899" spans="1:13" ht="14.25" customHeight="1" x14ac:dyDescent="0.3">
      <c r="A899" s="48"/>
      <c r="B899" s="45"/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M899" s="64"/>
    </row>
    <row r="900" spans="1:13" ht="14.25" customHeight="1" x14ac:dyDescent="0.3">
      <c r="A900" s="48"/>
      <c r="B900" s="45"/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M900" s="64"/>
    </row>
    <row r="901" spans="1:13" ht="14.25" customHeight="1" x14ac:dyDescent="0.3">
      <c r="A901" s="48"/>
      <c r="B901" s="45"/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M901" s="64"/>
    </row>
    <row r="902" spans="1:13" ht="14.25" customHeight="1" x14ac:dyDescent="0.3">
      <c r="A902" s="48"/>
      <c r="B902" s="45"/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M902" s="64"/>
    </row>
    <row r="903" spans="1:13" ht="14.25" customHeight="1" x14ac:dyDescent="0.3">
      <c r="A903" s="48"/>
      <c r="B903" s="45"/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M903" s="64"/>
    </row>
    <row r="904" spans="1:13" ht="14.25" customHeight="1" x14ac:dyDescent="0.3">
      <c r="A904" s="48"/>
      <c r="B904" s="45"/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M904" s="64"/>
    </row>
    <row r="905" spans="1:13" ht="14.25" customHeight="1" x14ac:dyDescent="0.3">
      <c r="A905" s="48"/>
      <c r="B905" s="45"/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M905" s="64"/>
    </row>
    <row r="906" spans="1:13" ht="14.25" customHeight="1" x14ac:dyDescent="0.3">
      <c r="A906" s="48"/>
      <c r="B906" s="45"/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M906" s="64"/>
    </row>
    <row r="907" spans="1:13" ht="14.25" customHeight="1" x14ac:dyDescent="0.3">
      <c r="A907" s="48"/>
      <c r="B907" s="45"/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M907" s="64"/>
    </row>
    <row r="908" spans="1:13" ht="14.25" customHeight="1" x14ac:dyDescent="0.3">
      <c r="A908" s="48"/>
      <c r="B908" s="45"/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M908" s="64"/>
    </row>
    <row r="909" spans="1:13" ht="14.25" customHeight="1" x14ac:dyDescent="0.3">
      <c r="A909" s="48"/>
      <c r="B909" s="45"/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M909" s="64"/>
    </row>
    <row r="910" spans="1:13" ht="14.25" customHeight="1" x14ac:dyDescent="0.3">
      <c r="A910" s="48"/>
      <c r="B910" s="45"/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M910" s="64"/>
    </row>
    <row r="911" spans="1:13" ht="14.25" customHeight="1" x14ac:dyDescent="0.3">
      <c r="A911" s="48"/>
      <c r="B911" s="45"/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M911" s="64"/>
    </row>
    <row r="912" spans="1:13" ht="14.25" customHeight="1" x14ac:dyDescent="0.3">
      <c r="A912" s="48"/>
      <c r="B912" s="45"/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M912" s="64"/>
    </row>
    <row r="913" spans="1:13" ht="14.25" customHeight="1" x14ac:dyDescent="0.3">
      <c r="A913" s="48"/>
      <c r="B913" s="45"/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M913" s="64"/>
    </row>
    <row r="914" spans="1:13" ht="14.25" customHeight="1" x14ac:dyDescent="0.3">
      <c r="A914" s="48"/>
      <c r="B914" s="45"/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M914" s="64"/>
    </row>
    <row r="915" spans="1:13" ht="14.25" customHeight="1" x14ac:dyDescent="0.3">
      <c r="A915" s="48"/>
      <c r="B915" s="45"/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M915" s="64"/>
    </row>
    <row r="916" spans="1:13" ht="14.25" customHeight="1" x14ac:dyDescent="0.3">
      <c r="A916" s="48"/>
      <c r="B916" s="45"/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M916" s="64"/>
    </row>
    <row r="917" spans="1:13" ht="14.25" customHeight="1" x14ac:dyDescent="0.3">
      <c r="A917" s="48"/>
      <c r="B917" s="45"/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M917" s="64"/>
    </row>
    <row r="918" spans="1:13" ht="14.25" customHeight="1" x14ac:dyDescent="0.3">
      <c r="A918" s="48"/>
      <c r="B918" s="45"/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M918" s="64"/>
    </row>
    <row r="919" spans="1:13" ht="14.25" customHeight="1" x14ac:dyDescent="0.3">
      <c r="A919" s="48"/>
      <c r="B919" s="45"/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M919" s="64"/>
    </row>
    <row r="920" spans="1:13" ht="14.25" customHeight="1" x14ac:dyDescent="0.3">
      <c r="A920" s="48"/>
      <c r="B920" s="45"/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M920" s="64"/>
    </row>
    <row r="921" spans="1:13" ht="14.25" customHeight="1" x14ac:dyDescent="0.3">
      <c r="A921" s="48"/>
      <c r="B921" s="45"/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M921" s="64"/>
    </row>
    <row r="922" spans="1:13" ht="14.25" customHeight="1" x14ac:dyDescent="0.3">
      <c r="A922" s="48"/>
      <c r="B922" s="45"/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M922" s="64"/>
    </row>
    <row r="923" spans="1:13" ht="14.25" customHeight="1" x14ac:dyDescent="0.3">
      <c r="A923" s="48"/>
      <c r="B923" s="45"/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M923" s="64"/>
    </row>
    <row r="924" spans="1:13" ht="14.25" customHeight="1" x14ac:dyDescent="0.3">
      <c r="A924" s="48"/>
      <c r="B924" s="45"/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M924" s="64"/>
    </row>
    <row r="925" spans="1:13" ht="14.25" customHeight="1" x14ac:dyDescent="0.3">
      <c r="A925" s="48"/>
      <c r="B925" s="45"/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M925" s="64"/>
    </row>
    <row r="926" spans="1:13" ht="14.25" customHeight="1" x14ac:dyDescent="0.3">
      <c r="A926" s="48"/>
      <c r="B926" s="45"/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M926" s="64"/>
    </row>
    <row r="927" spans="1:13" ht="14.25" customHeight="1" x14ac:dyDescent="0.3">
      <c r="A927" s="48"/>
      <c r="B927" s="45"/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M927" s="64"/>
    </row>
    <row r="928" spans="1:13" ht="14.25" customHeight="1" x14ac:dyDescent="0.3">
      <c r="A928" s="48"/>
      <c r="B928" s="45"/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M928" s="64"/>
    </row>
    <row r="929" spans="1:13" ht="14.25" customHeight="1" x14ac:dyDescent="0.3">
      <c r="A929" s="48"/>
      <c r="B929" s="45"/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M929" s="64"/>
    </row>
    <row r="930" spans="1:13" ht="14.25" customHeight="1" x14ac:dyDescent="0.3">
      <c r="A930" s="48"/>
      <c r="B930" s="45"/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M930" s="64"/>
    </row>
    <row r="931" spans="1:13" ht="14.25" customHeight="1" x14ac:dyDescent="0.3">
      <c r="A931" s="48"/>
      <c r="B931" s="45"/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M931" s="64"/>
    </row>
    <row r="932" spans="1:13" ht="14.25" customHeight="1" x14ac:dyDescent="0.3">
      <c r="A932" s="48"/>
      <c r="B932" s="45"/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M932" s="64"/>
    </row>
    <row r="933" spans="1:13" ht="14.25" customHeight="1" x14ac:dyDescent="0.3">
      <c r="A933" s="48"/>
      <c r="B933" s="45"/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M933" s="64"/>
    </row>
    <row r="934" spans="1:13" ht="14.25" customHeight="1" x14ac:dyDescent="0.3">
      <c r="A934" s="48"/>
      <c r="B934" s="45"/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M934" s="64"/>
    </row>
    <row r="935" spans="1:13" ht="14.25" customHeight="1" x14ac:dyDescent="0.3">
      <c r="A935" s="48"/>
      <c r="B935" s="45"/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M935" s="64"/>
    </row>
    <row r="936" spans="1:13" ht="14.25" customHeight="1" x14ac:dyDescent="0.3">
      <c r="A936" s="48"/>
      <c r="B936" s="45"/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M936" s="64"/>
    </row>
    <row r="937" spans="1:13" ht="14.25" customHeight="1" x14ac:dyDescent="0.3">
      <c r="A937" s="48"/>
      <c r="B937" s="45"/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M937" s="64"/>
    </row>
    <row r="938" spans="1:13" ht="14.25" customHeight="1" x14ac:dyDescent="0.3">
      <c r="A938" s="48"/>
      <c r="B938" s="45"/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M938" s="64"/>
    </row>
    <row r="939" spans="1:13" ht="14.25" customHeight="1" x14ac:dyDescent="0.3">
      <c r="A939" s="48"/>
      <c r="B939" s="45"/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M939" s="64"/>
    </row>
    <row r="940" spans="1:13" ht="14.25" customHeight="1" x14ac:dyDescent="0.3">
      <c r="A940" s="48"/>
      <c r="B940" s="45"/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M940" s="64"/>
    </row>
    <row r="941" spans="1:13" ht="14.25" customHeight="1" x14ac:dyDescent="0.3">
      <c r="A941" s="48"/>
      <c r="B941" s="45"/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M941" s="64"/>
    </row>
    <row r="942" spans="1:13" ht="14.25" customHeight="1" x14ac:dyDescent="0.3">
      <c r="A942" s="48"/>
      <c r="B942" s="45"/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M942" s="64"/>
    </row>
    <row r="943" spans="1:13" ht="14.25" customHeight="1" x14ac:dyDescent="0.3">
      <c r="A943" s="48"/>
      <c r="B943" s="45"/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M943" s="64"/>
    </row>
    <row r="944" spans="1:13" ht="14.25" customHeight="1" x14ac:dyDescent="0.3">
      <c r="A944" s="48"/>
      <c r="B944" s="45"/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M944" s="64"/>
    </row>
    <row r="945" spans="1:13" ht="14.25" customHeight="1" x14ac:dyDescent="0.3">
      <c r="A945" s="48"/>
      <c r="B945" s="45"/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M945" s="64"/>
    </row>
    <row r="946" spans="1:13" ht="14.25" customHeight="1" x14ac:dyDescent="0.3">
      <c r="A946" s="48"/>
      <c r="B946" s="45"/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M946" s="64"/>
    </row>
    <row r="947" spans="1:13" ht="14.25" customHeight="1" x14ac:dyDescent="0.3">
      <c r="A947" s="48"/>
      <c r="B947" s="45"/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M947" s="64"/>
    </row>
    <row r="948" spans="1:13" ht="14.25" customHeight="1" x14ac:dyDescent="0.3">
      <c r="A948" s="48"/>
      <c r="B948" s="45"/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M948" s="64"/>
    </row>
    <row r="949" spans="1:13" ht="14.25" customHeight="1" x14ac:dyDescent="0.3">
      <c r="A949" s="48"/>
      <c r="B949" s="45"/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M949" s="64"/>
    </row>
    <row r="950" spans="1:13" ht="14.25" customHeight="1" x14ac:dyDescent="0.3">
      <c r="A950" s="48"/>
      <c r="B950" s="45"/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M950" s="64"/>
    </row>
    <row r="951" spans="1:13" ht="14.25" customHeight="1" x14ac:dyDescent="0.3">
      <c r="A951" s="48"/>
      <c r="B951" s="45"/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M951" s="64"/>
    </row>
    <row r="952" spans="1:13" ht="14.25" customHeight="1" x14ac:dyDescent="0.3">
      <c r="A952" s="48"/>
      <c r="B952" s="45"/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M952" s="64"/>
    </row>
    <row r="953" spans="1:13" ht="14.25" customHeight="1" x14ac:dyDescent="0.3">
      <c r="A953" s="48"/>
      <c r="B953" s="45"/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M953" s="64"/>
    </row>
    <row r="954" spans="1:13" ht="14.25" customHeight="1" x14ac:dyDescent="0.3">
      <c r="A954" s="48"/>
      <c r="B954" s="45"/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M954" s="64"/>
    </row>
    <row r="955" spans="1:13" ht="14.25" customHeight="1" x14ac:dyDescent="0.3">
      <c r="A955" s="48"/>
      <c r="B955" s="45"/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M955" s="64"/>
    </row>
    <row r="956" spans="1:13" ht="14.25" customHeight="1" x14ac:dyDescent="0.3">
      <c r="A956" s="48"/>
      <c r="B956" s="45"/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M956" s="64"/>
    </row>
    <row r="957" spans="1:13" ht="14.25" customHeight="1" x14ac:dyDescent="0.3">
      <c r="A957" s="48"/>
      <c r="B957" s="45"/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M957" s="64"/>
    </row>
    <row r="958" spans="1:13" ht="14.25" customHeight="1" x14ac:dyDescent="0.3">
      <c r="A958" s="48"/>
      <c r="B958" s="45"/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M958" s="64"/>
    </row>
    <row r="959" spans="1:13" ht="14.25" customHeight="1" x14ac:dyDescent="0.3">
      <c r="A959" s="48"/>
      <c r="B959" s="45"/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M959" s="64"/>
    </row>
    <row r="960" spans="1:13" ht="14.25" customHeight="1" x14ac:dyDescent="0.3">
      <c r="A960" s="48"/>
      <c r="B960" s="45"/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M960" s="64"/>
    </row>
    <row r="961" spans="1:13" ht="14.25" customHeight="1" x14ac:dyDescent="0.3">
      <c r="A961" s="48"/>
      <c r="B961" s="45"/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M961" s="64"/>
    </row>
    <row r="962" spans="1:13" ht="14.25" customHeight="1" x14ac:dyDescent="0.3">
      <c r="A962" s="48"/>
      <c r="B962" s="45"/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M962" s="64"/>
    </row>
    <row r="963" spans="1:13" ht="14.25" customHeight="1" x14ac:dyDescent="0.3">
      <c r="A963" s="48"/>
      <c r="B963" s="45"/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M963" s="64"/>
    </row>
    <row r="964" spans="1:13" ht="14.25" customHeight="1" x14ac:dyDescent="0.3">
      <c r="A964" s="48"/>
      <c r="B964" s="45"/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M964" s="64"/>
    </row>
    <row r="965" spans="1:13" ht="14.25" customHeight="1" x14ac:dyDescent="0.3">
      <c r="A965" s="48"/>
      <c r="B965" s="45"/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M965" s="64"/>
    </row>
    <row r="966" spans="1:13" ht="14.25" customHeight="1" x14ac:dyDescent="0.3">
      <c r="A966" s="48"/>
      <c r="B966" s="45"/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M966" s="64"/>
    </row>
    <row r="967" spans="1:13" ht="14.25" customHeight="1" x14ac:dyDescent="0.3">
      <c r="A967" s="48"/>
      <c r="B967" s="45"/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M967" s="64"/>
    </row>
    <row r="968" spans="1:13" ht="14.25" customHeight="1" x14ac:dyDescent="0.3">
      <c r="A968" s="48"/>
      <c r="B968" s="45"/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M968" s="64"/>
    </row>
    <row r="969" spans="1:13" ht="14.25" customHeight="1" x14ac:dyDescent="0.3">
      <c r="A969" s="48"/>
      <c r="B969" s="45"/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M969" s="64"/>
    </row>
    <row r="970" spans="1:13" ht="14.25" customHeight="1" x14ac:dyDescent="0.3">
      <c r="A970" s="48"/>
      <c r="B970" s="45"/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M970" s="64"/>
    </row>
    <row r="971" spans="1:13" ht="14.25" customHeight="1" x14ac:dyDescent="0.3">
      <c r="A971" s="48"/>
      <c r="B971" s="45"/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M971" s="64"/>
    </row>
    <row r="972" spans="1:13" ht="14.25" customHeight="1" x14ac:dyDescent="0.3">
      <c r="A972" s="48"/>
      <c r="B972" s="45"/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M972" s="64"/>
    </row>
    <row r="973" spans="1:13" ht="14.25" customHeight="1" x14ac:dyDescent="0.3">
      <c r="A973" s="48"/>
      <c r="B973" s="45"/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M973" s="64"/>
    </row>
    <row r="974" spans="1:13" ht="14.25" customHeight="1" x14ac:dyDescent="0.3">
      <c r="A974" s="48"/>
      <c r="B974" s="45"/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M974" s="64"/>
    </row>
    <row r="975" spans="1:13" ht="14.25" customHeight="1" x14ac:dyDescent="0.3">
      <c r="A975" s="48"/>
      <c r="B975" s="45"/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M975" s="64"/>
    </row>
    <row r="976" spans="1:13" ht="14.25" customHeight="1" x14ac:dyDescent="0.3">
      <c r="A976" s="48"/>
      <c r="B976" s="45"/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M976" s="64"/>
    </row>
    <row r="977" spans="1:13" ht="14.25" customHeight="1" x14ac:dyDescent="0.3">
      <c r="A977" s="48"/>
      <c r="B977" s="45"/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M977" s="64"/>
    </row>
    <row r="978" spans="1:13" ht="14.25" customHeight="1" x14ac:dyDescent="0.3">
      <c r="A978" s="48"/>
      <c r="B978" s="45"/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M978" s="64"/>
    </row>
    <row r="979" spans="1:13" ht="14.25" customHeight="1" x14ac:dyDescent="0.3">
      <c r="A979" s="48"/>
      <c r="B979" s="45"/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M979" s="64"/>
    </row>
    <row r="980" spans="1:13" ht="14.25" customHeight="1" x14ac:dyDescent="0.3">
      <c r="A980" s="48"/>
      <c r="B980" s="45"/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M980" s="64"/>
    </row>
    <row r="981" spans="1:13" ht="14.25" customHeight="1" x14ac:dyDescent="0.3">
      <c r="A981" s="48"/>
      <c r="B981" s="45"/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M981" s="64"/>
    </row>
    <row r="982" spans="1:13" ht="14.25" customHeight="1" x14ac:dyDescent="0.3">
      <c r="A982" s="48"/>
      <c r="B982" s="45"/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M982" s="64"/>
    </row>
    <row r="983" spans="1:13" ht="14.25" customHeight="1" x14ac:dyDescent="0.3">
      <c r="A983" s="48"/>
      <c r="B983" s="45"/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M983" s="64"/>
    </row>
    <row r="984" spans="1:13" ht="14.25" customHeight="1" x14ac:dyDescent="0.3">
      <c r="A984" s="48"/>
      <c r="B984" s="45"/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M984" s="64"/>
    </row>
    <row r="985" spans="1:13" ht="14.25" customHeight="1" x14ac:dyDescent="0.3">
      <c r="A985" s="48"/>
      <c r="B985" s="45"/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M985" s="64"/>
    </row>
    <row r="986" spans="1:13" ht="14.25" customHeight="1" x14ac:dyDescent="0.3">
      <c r="A986" s="48"/>
      <c r="B986" s="45"/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M986" s="64"/>
    </row>
    <row r="987" spans="1:13" ht="14.25" customHeight="1" x14ac:dyDescent="0.3">
      <c r="A987" s="48"/>
      <c r="B987" s="45"/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M987" s="64"/>
    </row>
    <row r="988" spans="1:13" ht="14.25" customHeight="1" x14ac:dyDescent="0.3">
      <c r="A988" s="48"/>
      <c r="B988" s="45"/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M988" s="64"/>
    </row>
    <row r="989" spans="1:13" ht="14.25" customHeight="1" x14ac:dyDescent="0.3">
      <c r="A989" s="48"/>
      <c r="B989" s="45"/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M989" s="64"/>
    </row>
    <row r="990" spans="1:13" ht="14.25" customHeight="1" x14ac:dyDescent="0.3">
      <c r="A990" s="48"/>
      <c r="B990" s="45"/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M990" s="64"/>
    </row>
    <row r="991" spans="1:13" ht="14.25" customHeight="1" x14ac:dyDescent="0.3">
      <c r="A991" s="48"/>
      <c r="B991" s="45"/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M991" s="64"/>
    </row>
    <row r="992" spans="1:13" ht="14.25" customHeight="1" x14ac:dyDescent="0.3">
      <c r="A992" s="48"/>
      <c r="B992" s="45"/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M992" s="64"/>
    </row>
    <row r="993" spans="1:13" ht="14.25" customHeight="1" x14ac:dyDescent="0.3">
      <c r="A993" s="48"/>
      <c r="B993" s="45"/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M993" s="64"/>
    </row>
    <row r="994" spans="1:13" ht="14.25" customHeight="1" x14ac:dyDescent="0.3">
      <c r="A994" s="48"/>
      <c r="B994" s="45"/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M994" s="64"/>
    </row>
    <row r="995" spans="1:13" ht="14.25" customHeight="1" x14ac:dyDescent="0.3">
      <c r="A995" s="48"/>
      <c r="B995" s="45"/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M995" s="64"/>
    </row>
    <row r="996" spans="1:13" ht="14.25" customHeight="1" x14ac:dyDescent="0.3">
      <c r="A996" s="48"/>
      <c r="B996" s="45"/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M996" s="64"/>
    </row>
    <row r="997" spans="1:13" ht="14.25" customHeight="1" x14ac:dyDescent="0.3">
      <c r="A997" s="48"/>
      <c r="B997" s="45"/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M997" s="64"/>
    </row>
    <row r="998" spans="1:13" ht="14.25" customHeight="1" x14ac:dyDescent="0.3">
      <c r="A998" s="48"/>
      <c r="B998" s="45"/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M998" s="64"/>
    </row>
    <row r="999" spans="1:13" ht="14.25" customHeight="1" x14ac:dyDescent="0.3">
      <c r="A999" s="48"/>
      <c r="B999" s="45"/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M999" s="64"/>
    </row>
    <row r="1000" spans="1:13" ht="14.25" customHeight="1" x14ac:dyDescent="0.3">
      <c r="A1000" s="48"/>
      <c r="B1000" s="45"/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M1000" s="64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Sprintti 1</vt:lpstr>
      <vt:lpstr>Sprintti 2</vt:lpstr>
      <vt:lpstr>Sprintti 3</vt:lpstr>
      <vt:lpstr>Työaika ryhmä</vt:lpstr>
      <vt:lpstr>Työaika jäsen 1</vt:lpstr>
      <vt:lpstr>Työaika jäsen 2</vt:lpstr>
      <vt:lpstr>Työaika jäsen 3</vt:lpstr>
      <vt:lpstr>Työaika jäsen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Soini</dc:creator>
  <cp:lastModifiedBy>Artem Lukianenkov</cp:lastModifiedBy>
  <dcterms:created xsi:type="dcterms:W3CDTF">2015-06-05T18:17:20Z</dcterms:created>
  <dcterms:modified xsi:type="dcterms:W3CDTF">2025-10-30T21:53:06Z</dcterms:modified>
</cp:coreProperties>
</file>