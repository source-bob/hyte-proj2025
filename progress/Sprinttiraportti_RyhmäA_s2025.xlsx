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onion\Desktop\proj2025\projekti\progress\"/>
    </mc:Choice>
  </mc:AlternateContent>
  <xr:revisionPtr revIDLastSave="0" documentId="13_ncr:1_{699F5AD3-B549-4CB5-9380-70F1DD6185FB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printti 1" sheetId="6" r:id="rId1"/>
    <sheet name="Sprintti 2" sheetId="14" r:id="rId2"/>
    <sheet name="Sprintti 3" sheetId="13" r:id="rId3"/>
    <sheet name="Työaika ryhmä" sheetId="15" r:id="rId4"/>
    <sheet name="Työaika jäsen 1" sheetId="16" r:id="rId5"/>
    <sheet name="Työaika jäsen 2" sheetId="18" r:id="rId6"/>
    <sheet name="Työaika jäsen 3" sheetId="19" r:id="rId7"/>
    <sheet name="Työaika jäsen 4" sheetId="2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15" l="1"/>
  <c r="F49" i="6"/>
  <c r="F49" i="14"/>
  <c r="F49" i="13"/>
  <c r="E62" i="20"/>
  <c r="G62" i="20"/>
  <c r="H62" i="20"/>
  <c r="I62" i="20"/>
  <c r="K62" i="20"/>
  <c r="L62" i="20"/>
  <c r="D61" i="20"/>
  <c r="E61" i="20"/>
  <c r="F61" i="20"/>
  <c r="F62" i="20" s="1"/>
  <c r="G61" i="20"/>
  <c r="H61" i="20"/>
  <c r="I61" i="20"/>
  <c r="J61" i="20"/>
  <c r="K61" i="20"/>
  <c r="L61" i="20"/>
  <c r="C61" i="20"/>
  <c r="E43" i="20"/>
  <c r="F43" i="20"/>
  <c r="G43" i="20"/>
  <c r="H43" i="20"/>
  <c r="I43" i="20"/>
  <c r="K43" i="20"/>
  <c r="L43" i="20"/>
  <c r="D42" i="20"/>
  <c r="E42" i="20"/>
  <c r="F42" i="20"/>
  <c r="G42" i="20"/>
  <c r="H42" i="20"/>
  <c r="I42" i="20"/>
  <c r="J42" i="20"/>
  <c r="J43" i="20" s="1"/>
  <c r="J62" i="20" s="1"/>
  <c r="K42" i="20"/>
  <c r="L42" i="20"/>
  <c r="C42" i="20"/>
  <c r="E24" i="20"/>
  <c r="F24" i="20"/>
  <c r="G24" i="20"/>
  <c r="H24" i="20"/>
  <c r="I24" i="20"/>
  <c r="J24" i="20"/>
  <c r="K24" i="20"/>
  <c r="L24" i="20"/>
  <c r="C24" i="20"/>
  <c r="C43" i="20" s="1"/>
  <c r="C62" i="20" s="1"/>
  <c r="D23" i="20"/>
  <c r="D24" i="20" s="1"/>
  <c r="D43" i="20" s="1"/>
  <c r="D62" i="20" s="1"/>
  <c r="E23" i="20"/>
  <c r="F23" i="20"/>
  <c r="G23" i="20"/>
  <c r="H23" i="20"/>
  <c r="I23" i="20"/>
  <c r="J23" i="20"/>
  <c r="K23" i="20"/>
  <c r="L23" i="20"/>
  <c r="C23" i="20"/>
  <c r="D62" i="19"/>
  <c r="E62" i="19"/>
  <c r="F62" i="19"/>
  <c r="G62" i="19"/>
  <c r="H62" i="19"/>
  <c r="I62" i="19"/>
  <c r="J62" i="19"/>
  <c r="K62" i="19"/>
  <c r="L62" i="19"/>
  <c r="D61" i="19"/>
  <c r="E61" i="19"/>
  <c r="F61" i="19"/>
  <c r="G61" i="19"/>
  <c r="H61" i="19"/>
  <c r="I61" i="19"/>
  <c r="J61" i="19"/>
  <c r="K61" i="19"/>
  <c r="L61" i="19"/>
  <c r="C61" i="19"/>
  <c r="D43" i="19"/>
  <c r="E43" i="19"/>
  <c r="F43" i="19"/>
  <c r="G43" i="19"/>
  <c r="H43" i="19"/>
  <c r="I43" i="19"/>
  <c r="J43" i="19"/>
  <c r="K43" i="19"/>
  <c r="L43" i="19"/>
  <c r="D42" i="19"/>
  <c r="E42" i="19"/>
  <c r="F42" i="19"/>
  <c r="G42" i="19"/>
  <c r="H42" i="19"/>
  <c r="I42" i="19"/>
  <c r="J42" i="19"/>
  <c r="K42" i="19"/>
  <c r="L42" i="19"/>
  <c r="C42" i="19"/>
  <c r="D24" i="19"/>
  <c r="E24" i="19"/>
  <c r="F24" i="19"/>
  <c r="G24" i="19"/>
  <c r="H24" i="19"/>
  <c r="I24" i="19"/>
  <c r="J24" i="19"/>
  <c r="K24" i="19"/>
  <c r="L24" i="19"/>
  <c r="D23" i="19"/>
  <c r="E23" i="19"/>
  <c r="F23" i="19"/>
  <c r="G23" i="19"/>
  <c r="H23" i="19"/>
  <c r="I23" i="19"/>
  <c r="J23" i="19"/>
  <c r="K23" i="19"/>
  <c r="L23" i="19"/>
  <c r="C23" i="19"/>
  <c r="C24" i="19" s="1"/>
  <c r="C43" i="19" s="1"/>
  <c r="C62" i="19" s="1"/>
  <c r="D62" i="18"/>
  <c r="E62" i="18"/>
  <c r="F62" i="18"/>
  <c r="G62" i="18"/>
  <c r="H62" i="18"/>
  <c r="I62" i="18"/>
  <c r="J62" i="18"/>
  <c r="K62" i="18"/>
  <c r="L62" i="18"/>
  <c r="C62" i="18"/>
  <c r="D61" i="18"/>
  <c r="E61" i="18"/>
  <c r="F61" i="18"/>
  <c r="G61" i="18"/>
  <c r="H61" i="18"/>
  <c r="I61" i="18"/>
  <c r="J61" i="18"/>
  <c r="K61" i="18"/>
  <c r="L61" i="18"/>
  <c r="C61" i="18"/>
  <c r="D43" i="18"/>
  <c r="E43" i="18"/>
  <c r="F43" i="18"/>
  <c r="G43" i="18"/>
  <c r="H43" i="18"/>
  <c r="I43" i="18"/>
  <c r="J43" i="18"/>
  <c r="K43" i="18"/>
  <c r="L43" i="18"/>
  <c r="C43" i="18"/>
  <c r="D42" i="18"/>
  <c r="E42" i="18"/>
  <c r="F42" i="18"/>
  <c r="G42" i="18"/>
  <c r="H42" i="18"/>
  <c r="I42" i="18"/>
  <c r="J42" i="18"/>
  <c r="K42" i="18"/>
  <c r="L42" i="18"/>
  <c r="C42" i="18"/>
  <c r="D24" i="18"/>
  <c r="E24" i="18"/>
  <c r="F24" i="18"/>
  <c r="G24" i="18"/>
  <c r="H24" i="18"/>
  <c r="I24" i="18"/>
  <c r="J24" i="18"/>
  <c r="K24" i="18"/>
  <c r="L24" i="18"/>
  <c r="C24" i="18"/>
  <c r="D23" i="18"/>
  <c r="E23" i="18"/>
  <c r="F23" i="18"/>
  <c r="G23" i="18"/>
  <c r="H23" i="18"/>
  <c r="I23" i="18"/>
  <c r="J23" i="18"/>
  <c r="K23" i="18"/>
  <c r="L23" i="18"/>
  <c r="C23" i="18"/>
  <c r="G62" i="16"/>
  <c r="H62" i="16"/>
  <c r="I62" i="16"/>
  <c r="J62" i="16"/>
  <c r="K62" i="16"/>
  <c r="L62" i="16"/>
  <c r="L43" i="16"/>
  <c r="G43" i="16"/>
  <c r="H43" i="16"/>
  <c r="I43" i="16"/>
  <c r="J43" i="16"/>
  <c r="K43" i="16"/>
  <c r="G24" i="16"/>
  <c r="H24" i="16"/>
  <c r="I24" i="16"/>
  <c r="J24" i="16"/>
  <c r="K24" i="16"/>
  <c r="L24" i="16"/>
  <c r="D61" i="16"/>
  <c r="E61" i="16"/>
  <c r="F61" i="16"/>
  <c r="G61" i="16"/>
  <c r="H61" i="16"/>
  <c r="I61" i="16"/>
  <c r="J61" i="16"/>
  <c r="K61" i="16"/>
  <c r="L61" i="16"/>
  <c r="C61" i="16"/>
  <c r="D42" i="16"/>
  <c r="E42" i="16"/>
  <c r="F42" i="16"/>
  <c r="G42" i="16"/>
  <c r="H42" i="16"/>
  <c r="I42" i="16"/>
  <c r="J42" i="16"/>
  <c r="K42" i="16"/>
  <c r="L42" i="16"/>
  <c r="C42" i="16"/>
  <c r="D40" i="15"/>
  <c r="E40" i="15"/>
  <c r="D59" i="15"/>
  <c r="D23" i="16"/>
  <c r="D24" i="16" s="1"/>
  <c r="D43" i="16" s="1"/>
  <c r="D62" i="16" s="1"/>
  <c r="E23" i="16"/>
  <c r="E24" i="16" s="1"/>
  <c r="E43" i="16" s="1"/>
  <c r="E62" i="16" s="1"/>
  <c r="F23" i="16"/>
  <c r="F24" i="16" s="1"/>
  <c r="F43" i="16" s="1"/>
  <c r="F62" i="16" s="1"/>
  <c r="G23" i="16"/>
  <c r="H23" i="16"/>
  <c r="I23" i="16"/>
  <c r="J23" i="16"/>
  <c r="K23" i="16"/>
  <c r="L23" i="16"/>
  <c r="C23" i="16"/>
  <c r="C24" i="16" s="1"/>
  <c r="Y27" i="13"/>
  <c r="Y26" i="13"/>
  <c r="Y25" i="13"/>
  <c r="Y24" i="13"/>
  <c r="Y23" i="13"/>
  <c r="Y22" i="13"/>
  <c r="Y20" i="13"/>
  <c r="Y27" i="14"/>
  <c r="Y26" i="14"/>
  <c r="Y24" i="14"/>
  <c r="Y23" i="14"/>
  <c r="Y22" i="14"/>
  <c r="Y21" i="14"/>
  <c r="Y20" i="14"/>
  <c r="B47" i="20"/>
  <c r="B48" i="20"/>
  <c r="B49" i="20"/>
  <c r="B50" i="20"/>
  <c r="E48" i="15" s="1"/>
  <c r="B51" i="20"/>
  <c r="B52" i="20"/>
  <c r="B53" i="20"/>
  <c r="B54" i="20"/>
  <c r="B55" i="20"/>
  <c r="E53" i="15" s="1"/>
  <c r="E59" i="15" s="1"/>
  <c r="B56" i="20"/>
  <c r="B57" i="20"/>
  <c r="B58" i="20"/>
  <c r="E56" i="15" s="1"/>
  <c r="B59" i="20"/>
  <c r="E57" i="15" s="1"/>
  <c r="B60" i="20"/>
  <c r="E58" i="15" s="1"/>
  <c r="B46" i="20"/>
  <c r="B28" i="20"/>
  <c r="E26" i="15" s="1"/>
  <c r="B29" i="20"/>
  <c r="E27" i="15" s="1"/>
  <c r="B30" i="20"/>
  <c r="B31" i="20"/>
  <c r="B32" i="20"/>
  <c r="B33" i="20"/>
  <c r="E31" i="15" s="1"/>
  <c r="B34" i="20"/>
  <c r="E32" i="15" s="1"/>
  <c r="B35" i="20"/>
  <c r="E33" i="15" s="1"/>
  <c r="B36" i="20"/>
  <c r="B37" i="20"/>
  <c r="B38" i="20"/>
  <c r="B39" i="20"/>
  <c r="B40" i="20"/>
  <c r="B41" i="20"/>
  <c r="B27" i="20"/>
  <c r="B9" i="20"/>
  <c r="B10" i="20"/>
  <c r="B11" i="20"/>
  <c r="E9" i="15" s="1"/>
  <c r="B12" i="20"/>
  <c r="B13" i="20"/>
  <c r="B14" i="20"/>
  <c r="B15" i="20"/>
  <c r="E13" i="15" s="1"/>
  <c r="B16" i="20"/>
  <c r="B17" i="20"/>
  <c r="B18" i="20"/>
  <c r="B19" i="20"/>
  <c r="E17" i="15" s="1"/>
  <c r="B20" i="20"/>
  <c r="E18" i="15" s="1"/>
  <c r="B21" i="20"/>
  <c r="E19" i="15" s="1"/>
  <c r="B22" i="20"/>
  <c r="E20" i="15" s="1"/>
  <c r="B8" i="20"/>
  <c r="E6" i="15" s="1"/>
  <c r="B47" i="19"/>
  <c r="D45" i="15" s="1"/>
  <c r="B48" i="19"/>
  <c r="D46" i="15" s="1"/>
  <c r="B49" i="19"/>
  <c r="D47" i="15" s="1"/>
  <c r="B50" i="19"/>
  <c r="B51" i="19"/>
  <c r="D49" i="15" s="1"/>
  <c r="B52" i="19"/>
  <c r="D50" i="15" s="1"/>
  <c r="B53" i="19"/>
  <c r="B54" i="19"/>
  <c r="B55" i="19"/>
  <c r="B56" i="19"/>
  <c r="B57" i="19"/>
  <c r="B58" i="19"/>
  <c r="B59" i="19"/>
  <c r="B60" i="19"/>
  <c r="D58" i="15" s="1"/>
  <c r="B46" i="19"/>
  <c r="B28" i="19"/>
  <c r="B29" i="19"/>
  <c r="B30" i="19"/>
  <c r="B42" i="19" s="1"/>
  <c r="B31" i="19"/>
  <c r="D29" i="15" s="1"/>
  <c r="B32" i="19"/>
  <c r="D30" i="15" s="1"/>
  <c r="B33" i="19"/>
  <c r="D31" i="15" s="1"/>
  <c r="B34" i="19"/>
  <c r="B35" i="19"/>
  <c r="B36" i="19"/>
  <c r="B37" i="19"/>
  <c r="B38" i="19"/>
  <c r="B39" i="19"/>
  <c r="B40" i="19"/>
  <c r="D38" i="15" s="1"/>
  <c r="B41" i="19"/>
  <c r="B27" i="19"/>
  <c r="B9" i="19"/>
  <c r="B10" i="19"/>
  <c r="D8" i="15" s="1"/>
  <c r="B11" i="19"/>
  <c r="B12" i="19"/>
  <c r="D10" i="15" s="1"/>
  <c r="B13" i="19"/>
  <c r="B14" i="19"/>
  <c r="B15" i="19"/>
  <c r="D13" i="15" s="1"/>
  <c r="B16" i="19"/>
  <c r="B17" i="19"/>
  <c r="B18" i="19"/>
  <c r="B19" i="19"/>
  <c r="B20" i="19"/>
  <c r="B21" i="19"/>
  <c r="B22" i="19"/>
  <c r="D20" i="15" s="1"/>
  <c r="B8" i="19"/>
  <c r="B47" i="18"/>
  <c r="B48" i="18"/>
  <c r="C46" i="15" s="1"/>
  <c r="B49" i="18"/>
  <c r="B50" i="18"/>
  <c r="B51" i="18"/>
  <c r="B52" i="18"/>
  <c r="B53" i="18"/>
  <c r="B54" i="18"/>
  <c r="B55" i="18"/>
  <c r="C53" i="15" s="1"/>
  <c r="B56" i="18"/>
  <c r="C54" i="15" s="1"/>
  <c r="B57" i="18"/>
  <c r="B58" i="18"/>
  <c r="C56" i="15" s="1"/>
  <c r="B59" i="18"/>
  <c r="C57" i="15" s="1"/>
  <c r="B60" i="18"/>
  <c r="C58" i="15" s="1"/>
  <c r="B46" i="18"/>
  <c r="B28" i="18"/>
  <c r="B29" i="18"/>
  <c r="B30" i="18"/>
  <c r="B31" i="18"/>
  <c r="B32" i="18"/>
  <c r="C30" i="15" s="1"/>
  <c r="B33" i="18"/>
  <c r="B34" i="18"/>
  <c r="B35" i="18"/>
  <c r="B36" i="18"/>
  <c r="B37" i="18"/>
  <c r="C35" i="15" s="1"/>
  <c r="B38" i="18"/>
  <c r="C36" i="15" s="1"/>
  <c r="B39" i="18"/>
  <c r="C37" i="15" s="1"/>
  <c r="B40" i="18"/>
  <c r="C38" i="15" s="1"/>
  <c r="B41" i="18"/>
  <c r="C39" i="15" s="1"/>
  <c r="B27" i="18"/>
  <c r="C25" i="15" s="1"/>
  <c r="C40" i="15" s="1"/>
  <c r="B9" i="18"/>
  <c r="C7" i="15" s="1"/>
  <c r="B10" i="18"/>
  <c r="C8" i="15" s="1"/>
  <c r="B11" i="18"/>
  <c r="B12" i="18"/>
  <c r="C10" i="15" s="1"/>
  <c r="B13" i="18"/>
  <c r="B14" i="18"/>
  <c r="B15" i="18"/>
  <c r="B16" i="18"/>
  <c r="C14" i="15" s="1"/>
  <c r="B17" i="18"/>
  <c r="B18" i="18"/>
  <c r="B19" i="18"/>
  <c r="B20" i="18"/>
  <c r="B21" i="18"/>
  <c r="B22" i="18"/>
  <c r="C20" i="15" s="1"/>
  <c r="B8" i="18"/>
  <c r="P28" i="13"/>
  <c r="P28" i="14"/>
  <c r="B47" i="16"/>
  <c r="B48" i="16"/>
  <c r="B49" i="16"/>
  <c r="B47" i="15" s="1"/>
  <c r="B50" i="16"/>
  <c r="B48" i="15" s="1"/>
  <c r="B51" i="16"/>
  <c r="B52" i="16"/>
  <c r="B50" i="15" s="1"/>
  <c r="B53" i="16"/>
  <c r="B51" i="15" s="1"/>
  <c r="B54" i="16"/>
  <c r="B52" i="15" s="1"/>
  <c r="B55" i="16"/>
  <c r="B56" i="16"/>
  <c r="B57" i="16"/>
  <c r="B58" i="16"/>
  <c r="B59" i="16"/>
  <c r="B57" i="15" s="1"/>
  <c r="B60" i="16"/>
  <c r="B46" i="16"/>
  <c r="B28" i="16"/>
  <c r="B29" i="16"/>
  <c r="B27" i="15" s="1"/>
  <c r="B30" i="16"/>
  <c r="B28" i="15" s="1"/>
  <c r="B31" i="16"/>
  <c r="B32" i="16"/>
  <c r="B30" i="15" s="1"/>
  <c r="B33" i="16"/>
  <c r="B31" i="15" s="1"/>
  <c r="B34" i="16"/>
  <c r="B32" i="15" s="1"/>
  <c r="B35" i="16"/>
  <c r="B33" i="15" s="1"/>
  <c r="B36" i="16"/>
  <c r="B37" i="16"/>
  <c r="B38" i="16"/>
  <c r="B39" i="16"/>
  <c r="B37" i="15" s="1"/>
  <c r="B40" i="16"/>
  <c r="B41" i="16"/>
  <c r="B27" i="16"/>
  <c r="B25" i="15" s="1"/>
  <c r="R58" i="15"/>
  <c r="Q58" i="15"/>
  <c r="P58" i="15"/>
  <c r="O58" i="15"/>
  <c r="N58" i="15"/>
  <c r="M58" i="15"/>
  <c r="L58" i="15"/>
  <c r="K58" i="15"/>
  <c r="J58" i="15"/>
  <c r="I58" i="15"/>
  <c r="S58" i="15" s="1"/>
  <c r="R57" i="15"/>
  <c r="Q57" i="15"/>
  <c r="P57" i="15"/>
  <c r="O57" i="15"/>
  <c r="N57" i="15"/>
  <c r="M57" i="15"/>
  <c r="L57" i="15"/>
  <c r="K57" i="15"/>
  <c r="J57" i="15"/>
  <c r="I57" i="15"/>
  <c r="S57" i="15" s="1"/>
  <c r="R56" i="15"/>
  <c r="S56" i="15" s="1"/>
  <c r="Q56" i="15"/>
  <c r="P56" i="15"/>
  <c r="O56" i="15"/>
  <c r="N56" i="15"/>
  <c r="M56" i="15"/>
  <c r="L56" i="15"/>
  <c r="K56" i="15"/>
  <c r="J56" i="15"/>
  <c r="I56" i="15"/>
  <c r="R55" i="15"/>
  <c r="Q55" i="15"/>
  <c r="P55" i="15"/>
  <c r="O55" i="15"/>
  <c r="S55" i="15" s="1"/>
  <c r="N55" i="15"/>
  <c r="M55" i="15"/>
  <c r="L55" i="15"/>
  <c r="K55" i="15"/>
  <c r="J55" i="15"/>
  <c r="I55" i="15"/>
  <c r="R54" i="15"/>
  <c r="Q54" i="15"/>
  <c r="P54" i="15"/>
  <c r="O54" i="15"/>
  <c r="N54" i="15"/>
  <c r="M54" i="15"/>
  <c r="L54" i="15"/>
  <c r="S54" i="15" s="1"/>
  <c r="K54" i="15"/>
  <c r="J54" i="15"/>
  <c r="I54" i="15"/>
  <c r="R53" i="15"/>
  <c r="Q53" i="15"/>
  <c r="P53" i="15"/>
  <c r="O53" i="15"/>
  <c r="N53" i="15"/>
  <c r="M53" i="15"/>
  <c r="L53" i="15"/>
  <c r="K53" i="15"/>
  <c r="J53" i="15"/>
  <c r="I53" i="15"/>
  <c r="R52" i="15"/>
  <c r="Q52" i="15"/>
  <c r="P52" i="15"/>
  <c r="O52" i="15"/>
  <c r="N52" i="15"/>
  <c r="M52" i="15"/>
  <c r="L52" i="15"/>
  <c r="K52" i="15"/>
  <c r="J52" i="15"/>
  <c r="I52" i="15"/>
  <c r="S52" i="15" s="1"/>
  <c r="R51" i="15"/>
  <c r="Q51" i="15"/>
  <c r="S51" i="15" s="1"/>
  <c r="P51" i="15"/>
  <c r="O51" i="15"/>
  <c r="N51" i="15"/>
  <c r="M51" i="15"/>
  <c r="L51" i="15"/>
  <c r="K51" i="15"/>
  <c r="J51" i="15"/>
  <c r="I51" i="15"/>
  <c r="R50" i="15"/>
  <c r="Q50" i="15"/>
  <c r="P50" i="15"/>
  <c r="O50" i="15"/>
  <c r="O59" i="15" s="1"/>
  <c r="N50" i="15"/>
  <c r="S50" i="15" s="1"/>
  <c r="M50" i="15"/>
  <c r="L50" i="15"/>
  <c r="K50" i="15"/>
  <c r="J50" i="15"/>
  <c r="I50" i="15"/>
  <c r="R49" i="15"/>
  <c r="Q49" i="15"/>
  <c r="P49" i="15"/>
  <c r="O49" i="15"/>
  <c r="N49" i="15"/>
  <c r="M49" i="15"/>
  <c r="L49" i="15"/>
  <c r="K49" i="15"/>
  <c r="S49" i="15" s="1"/>
  <c r="J49" i="15"/>
  <c r="I49" i="15"/>
  <c r="R48" i="15"/>
  <c r="Q48" i="15"/>
  <c r="P48" i="15"/>
  <c r="O48" i="15"/>
  <c r="N48" i="15"/>
  <c r="M48" i="15"/>
  <c r="L48" i="15"/>
  <c r="K48" i="15"/>
  <c r="J48" i="15"/>
  <c r="I48" i="15"/>
  <c r="S48" i="15" s="1"/>
  <c r="R47" i="15"/>
  <c r="Q47" i="15"/>
  <c r="P47" i="15"/>
  <c r="O47" i="15"/>
  <c r="N47" i="15"/>
  <c r="M47" i="15"/>
  <c r="L47" i="15"/>
  <c r="K47" i="15"/>
  <c r="J47" i="15"/>
  <c r="S47" i="15" s="1"/>
  <c r="I47" i="15"/>
  <c r="R46" i="15"/>
  <c r="Q46" i="15"/>
  <c r="P46" i="15"/>
  <c r="S46" i="15" s="1"/>
  <c r="O46" i="15"/>
  <c r="N46" i="15"/>
  <c r="M46" i="15"/>
  <c r="L46" i="15"/>
  <c r="K46" i="15"/>
  <c r="J46" i="15"/>
  <c r="I46" i="15"/>
  <c r="R45" i="15"/>
  <c r="R59" i="15" s="1"/>
  <c r="Q45" i="15"/>
  <c r="Q59" i="15" s="1"/>
  <c r="P45" i="15"/>
  <c r="P59" i="15" s="1"/>
  <c r="O45" i="15"/>
  <c r="N45" i="15"/>
  <c r="N59" i="15" s="1"/>
  <c r="M45" i="15"/>
  <c r="M59" i="15" s="1"/>
  <c r="L45" i="15"/>
  <c r="K45" i="15"/>
  <c r="J45" i="15"/>
  <c r="I45" i="15"/>
  <c r="R44" i="15"/>
  <c r="Q44" i="15"/>
  <c r="P44" i="15"/>
  <c r="O44" i="15"/>
  <c r="N44" i="15"/>
  <c r="M44" i="15"/>
  <c r="L44" i="15"/>
  <c r="K44" i="15"/>
  <c r="K59" i="15" s="1"/>
  <c r="J44" i="15"/>
  <c r="I44" i="15"/>
  <c r="S44" i="15" s="1"/>
  <c r="R39" i="15"/>
  <c r="Q39" i="15"/>
  <c r="P39" i="15"/>
  <c r="O39" i="15"/>
  <c r="N39" i="15"/>
  <c r="M39" i="15"/>
  <c r="L39" i="15"/>
  <c r="K39" i="15"/>
  <c r="J39" i="15"/>
  <c r="I39" i="15"/>
  <c r="S39" i="15" s="1"/>
  <c r="R38" i="15"/>
  <c r="Q38" i="15"/>
  <c r="P38" i="15"/>
  <c r="O38" i="15"/>
  <c r="N38" i="15"/>
  <c r="M38" i="15"/>
  <c r="L38" i="15"/>
  <c r="K38" i="15"/>
  <c r="J38" i="15"/>
  <c r="I38" i="15"/>
  <c r="S38" i="15" s="1"/>
  <c r="R37" i="15"/>
  <c r="Q37" i="15"/>
  <c r="P37" i="15"/>
  <c r="O37" i="15"/>
  <c r="N37" i="15"/>
  <c r="M37" i="15"/>
  <c r="L37" i="15"/>
  <c r="K37" i="15"/>
  <c r="J37" i="15"/>
  <c r="I37" i="15"/>
  <c r="S37" i="15" s="1"/>
  <c r="R36" i="15"/>
  <c r="Q36" i="15"/>
  <c r="P36" i="15"/>
  <c r="O36" i="15"/>
  <c r="N36" i="15"/>
  <c r="M36" i="15"/>
  <c r="L36" i="15"/>
  <c r="K36" i="15"/>
  <c r="J36" i="15"/>
  <c r="I36" i="15"/>
  <c r="S36" i="15" s="1"/>
  <c r="S35" i="15"/>
  <c r="R35" i="15"/>
  <c r="Q35" i="15"/>
  <c r="P35" i="15"/>
  <c r="O35" i="15"/>
  <c r="N35" i="15"/>
  <c r="M35" i="15"/>
  <c r="L35" i="15"/>
  <c r="K35" i="15"/>
  <c r="J35" i="15"/>
  <c r="I35" i="15"/>
  <c r="R34" i="15"/>
  <c r="Q34" i="15"/>
  <c r="P34" i="15"/>
  <c r="S34" i="15" s="1"/>
  <c r="O34" i="15"/>
  <c r="N34" i="15"/>
  <c r="M34" i="15"/>
  <c r="L34" i="15"/>
  <c r="K34" i="15"/>
  <c r="J34" i="15"/>
  <c r="I34" i="15"/>
  <c r="R33" i="15"/>
  <c r="Q33" i="15"/>
  <c r="P33" i="15"/>
  <c r="O33" i="15"/>
  <c r="N33" i="15"/>
  <c r="M33" i="15"/>
  <c r="L33" i="15"/>
  <c r="K33" i="15"/>
  <c r="J33" i="15"/>
  <c r="I33" i="15"/>
  <c r="S33" i="15" s="1"/>
  <c r="R32" i="15"/>
  <c r="Q32" i="15"/>
  <c r="P32" i="15"/>
  <c r="O32" i="15"/>
  <c r="N32" i="15"/>
  <c r="M32" i="15"/>
  <c r="L32" i="15"/>
  <c r="K32" i="15"/>
  <c r="J32" i="15"/>
  <c r="I32" i="15"/>
  <c r="R31" i="15"/>
  <c r="Q31" i="15"/>
  <c r="P31" i="15"/>
  <c r="O31" i="15"/>
  <c r="N31" i="15"/>
  <c r="M31" i="15"/>
  <c r="L31" i="15"/>
  <c r="K31" i="15"/>
  <c r="J31" i="15"/>
  <c r="I31" i="15"/>
  <c r="S31" i="15" s="1"/>
  <c r="R30" i="15"/>
  <c r="Q30" i="15"/>
  <c r="P30" i="15"/>
  <c r="O30" i="15"/>
  <c r="N30" i="15"/>
  <c r="M30" i="15"/>
  <c r="L30" i="15"/>
  <c r="K30" i="15"/>
  <c r="J30" i="15"/>
  <c r="I30" i="15"/>
  <c r="R29" i="15"/>
  <c r="Q29" i="15"/>
  <c r="P29" i="15"/>
  <c r="O29" i="15"/>
  <c r="N29" i="15"/>
  <c r="M29" i="15"/>
  <c r="L29" i="15"/>
  <c r="K29" i="15"/>
  <c r="J29" i="15"/>
  <c r="S29" i="15" s="1"/>
  <c r="I29" i="15"/>
  <c r="R28" i="15"/>
  <c r="Q28" i="15"/>
  <c r="P28" i="15"/>
  <c r="O28" i="15"/>
  <c r="N28" i="15"/>
  <c r="M28" i="15"/>
  <c r="L28" i="15"/>
  <c r="K28" i="15"/>
  <c r="J28" i="15"/>
  <c r="I28" i="15"/>
  <c r="S28" i="15" s="1"/>
  <c r="R27" i="15"/>
  <c r="Q27" i="15"/>
  <c r="P27" i="15"/>
  <c r="O27" i="15"/>
  <c r="N27" i="15"/>
  <c r="M27" i="15"/>
  <c r="L27" i="15"/>
  <c r="K27" i="15"/>
  <c r="J27" i="15"/>
  <c r="I27" i="15"/>
  <c r="S27" i="15" s="1"/>
  <c r="R26" i="15"/>
  <c r="Q26" i="15"/>
  <c r="P26" i="15"/>
  <c r="O26" i="15"/>
  <c r="O40" i="15" s="1"/>
  <c r="N26" i="15"/>
  <c r="M26" i="15"/>
  <c r="L26" i="15"/>
  <c r="K26" i="15"/>
  <c r="K40" i="15" s="1"/>
  <c r="J26" i="15"/>
  <c r="I26" i="15"/>
  <c r="S26" i="15" s="1"/>
  <c r="R25" i="15"/>
  <c r="R40" i="15" s="1"/>
  <c r="Q25" i="15"/>
  <c r="Q40" i="15" s="1"/>
  <c r="P25" i="15"/>
  <c r="O25" i="15"/>
  <c r="N25" i="15"/>
  <c r="N40" i="15" s="1"/>
  <c r="M25" i="15"/>
  <c r="M40" i="15" s="1"/>
  <c r="L25" i="15"/>
  <c r="L40" i="15" s="1"/>
  <c r="K25" i="15"/>
  <c r="J25" i="15"/>
  <c r="I25" i="15"/>
  <c r="Y27" i="6"/>
  <c r="Y26" i="6"/>
  <c r="Y25" i="6"/>
  <c r="Y24" i="6"/>
  <c r="O21" i="15"/>
  <c r="P21" i="15"/>
  <c r="Q21" i="15"/>
  <c r="R21" i="15"/>
  <c r="I7" i="15"/>
  <c r="J7" i="15"/>
  <c r="K7" i="15"/>
  <c r="L7" i="15"/>
  <c r="M7" i="15"/>
  <c r="N7" i="15"/>
  <c r="O7" i="15"/>
  <c r="P7" i="15"/>
  <c r="Q7" i="15"/>
  <c r="R7" i="15"/>
  <c r="I8" i="15"/>
  <c r="J8" i="15"/>
  <c r="K8" i="15"/>
  <c r="L8" i="15"/>
  <c r="M8" i="15"/>
  <c r="N8" i="15"/>
  <c r="O8" i="15"/>
  <c r="S8" i="15" s="1"/>
  <c r="P8" i="15"/>
  <c r="Q8" i="15"/>
  <c r="R8" i="15"/>
  <c r="I9" i="15"/>
  <c r="J9" i="15"/>
  <c r="K9" i="15"/>
  <c r="L9" i="15"/>
  <c r="M9" i="15"/>
  <c r="M21" i="15" s="1"/>
  <c r="Y22" i="6" s="1"/>
  <c r="N9" i="15"/>
  <c r="N21" i="15" s="1"/>
  <c r="Y23" i="6" s="1"/>
  <c r="O9" i="15"/>
  <c r="P9" i="15"/>
  <c r="Q9" i="15"/>
  <c r="R9" i="15"/>
  <c r="I10" i="15"/>
  <c r="J10" i="15"/>
  <c r="K10" i="15"/>
  <c r="L10" i="15"/>
  <c r="M10" i="15"/>
  <c r="N10" i="15"/>
  <c r="O10" i="15"/>
  <c r="P10" i="15"/>
  <c r="Q10" i="15"/>
  <c r="R10" i="15"/>
  <c r="I11" i="15"/>
  <c r="J11" i="15"/>
  <c r="K11" i="15"/>
  <c r="L11" i="15"/>
  <c r="M11" i="15"/>
  <c r="N11" i="15"/>
  <c r="O11" i="15"/>
  <c r="P11" i="15"/>
  <c r="Q11" i="15"/>
  <c r="R11" i="15"/>
  <c r="I12" i="15"/>
  <c r="J12" i="15"/>
  <c r="K12" i="15"/>
  <c r="L12" i="15"/>
  <c r="M12" i="15"/>
  <c r="N12" i="15"/>
  <c r="O12" i="15"/>
  <c r="P12" i="15"/>
  <c r="Q12" i="15"/>
  <c r="R12" i="15"/>
  <c r="I13" i="15"/>
  <c r="J13" i="15"/>
  <c r="K13" i="15"/>
  <c r="L13" i="15"/>
  <c r="M13" i="15"/>
  <c r="N13" i="15"/>
  <c r="O13" i="15"/>
  <c r="P13" i="15"/>
  <c r="Q13" i="15"/>
  <c r="R13" i="15"/>
  <c r="I14" i="15"/>
  <c r="J14" i="15"/>
  <c r="S14" i="15" s="1"/>
  <c r="K14" i="15"/>
  <c r="L14" i="15"/>
  <c r="M14" i="15"/>
  <c r="N14" i="15"/>
  <c r="O14" i="15"/>
  <c r="P14" i="15"/>
  <c r="Q14" i="15"/>
  <c r="R14" i="15"/>
  <c r="I15" i="15"/>
  <c r="J15" i="15"/>
  <c r="K15" i="15"/>
  <c r="L15" i="15"/>
  <c r="M15" i="15"/>
  <c r="N15" i="15"/>
  <c r="O15" i="15"/>
  <c r="P15" i="15"/>
  <c r="Q15" i="15"/>
  <c r="R15" i="15"/>
  <c r="I16" i="15"/>
  <c r="S16" i="15" s="1"/>
  <c r="J16" i="15"/>
  <c r="K16" i="15"/>
  <c r="L16" i="15"/>
  <c r="M16" i="15"/>
  <c r="N16" i="15"/>
  <c r="O16" i="15"/>
  <c r="P16" i="15"/>
  <c r="Q16" i="15"/>
  <c r="R16" i="15"/>
  <c r="I17" i="15"/>
  <c r="S17" i="15" s="1"/>
  <c r="J17" i="15"/>
  <c r="K17" i="15"/>
  <c r="L17" i="15"/>
  <c r="M17" i="15"/>
  <c r="N17" i="15"/>
  <c r="O17" i="15"/>
  <c r="P17" i="15"/>
  <c r="Q17" i="15"/>
  <c r="R17" i="15"/>
  <c r="I18" i="15"/>
  <c r="S18" i="15" s="1"/>
  <c r="J18" i="15"/>
  <c r="K18" i="15"/>
  <c r="L18" i="15"/>
  <c r="M18" i="15"/>
  <c r="N18" i="15"/>
  <c r="O18" i="15"/>
  <c r="P18" i="15"/>
  <c r="Q18" i="15"/>
  <c r="R18" i="15"/>
  <c r="I19" i="15"/>
  <c r="J19" i="15"/>
  <c r="K19" i="15"/>
  <c r="L19" i="15"/>
  <c r="M19" i="15"/>
  <c r="N19" i="15"/>
  <c r="S19" i="15" s="1"/>
  <c r="O19" i="15"/>
  <c r="P19" i="15"/>
  <c r="Q19" i="15"/>
  <c r="R19" i="15"/>
  <c r="I20" i="15"/>
  <c r="J20" i="15"/>
  <c r="K20" i="15"/>
  <c r="S20" i="15" s="1"/>
  <c r="L20" i="15"/>
  <c r="M20" i="15"/>
  <c r="N20" i="15"/>
  <c r="O20" i="15"/>
  <c r="P20" i="15"/>
  <c r="Q20" i="15"/>
  <c r="R20" i="15"/>
  <c r="J6" i="15"/>
  <c r="K6" i="15"/>
  <c r="L6" i="15"/>
  <c r="M6" i="15"/>
  <c r="N6" i="15"/>
  <c r="O6" i="15"/>
  <c r="P6" i="15"/>
  <c r="Q6" i="15"/>
  <c r="R6" i="15"/>
  <c r="B9" i="16"/>
  <c r="B7" i="15" s="1"/>
  <c r="B10" i="16"/>
  <c r="B8" i="15" s="1"/>
  <c r="B11" i="16"/>
  <c r="B9" i="15" s="1"/>
  <c r="B12" i="16"/>
  <c r="B10" i="15" s="1"/>
  <c r="B13" i="16"/>
  <c r="B11" i="15" s="1"/>
  <c r="B14" i="16"/>
  <c r="B12" i="15" s="1"/>
  <c r="B15" i="16"/>
  <c r="B13" i="15" s="1"/>
  <c r="B16" i="16"/>
  <c r="B14" i="15" s="1"/>
  <c r="B17" i="16"/>
  <c r="B15" i="15" s="1"/>
  <c r="B18" i="16"/>
  <c r="B19" i="16"/>
  <c r="B17" i="15" s="1"/>
  <c r="B20" i="16"/>
  <c r="B21" i="16"/>
  <c r="B22" i="16"/>
  <c r="B20" i="15" s="1"/>
  <c r="B8" i="16"/>
  <c r="B45" i="15"/>
  <c r="E45" i="15"/>
  <c r="B46" i="15"/>
  <c r="E46" i="15"/>
  <c r="C47" i="15"/>
  <c r="C59" i="15" s="1"/>
  <c r="E47" i="15"/>
  <c r="C48" i="15"/>
  <c r="D48" i="15"/>
  <c r="B49" i="15"/>
  <c r="C49" i="15"/>
  <c r="E49" i="15"/>
  <c r="C50" i="15"/>
  <c r="E50" i="15"/>
  <c r="C51" i="15"/>
  <c r="D51" i="15"/>
  <c r="E51" i="15"/>
  <c r="C52" i="15"/>
  <c r="D52" i="15"/>
  <c r="E52" i="15"/>
  <c r="B53" i="15"/>
  <c r="D53" i="15"/>
  <c r="B54" i="15"/>
  <c r="D54" i="15"/>
  <c r="E54" i="15"/>
  <c r="B55" i="15"/>
  <c r="C55" i="15"/>
  <c r="D55" i="15"/>
  <c r="E55" i="15"/>
  <c r="B56" i="15"/>
  <c r="D56" i="15"/>
  <c r="D57" i="15"/>
  <c r="B58" i="15"/>
  <c r="E44" i="15"/>
  <c r="D44" i="15"/>
  <c r="C44" i="15"/>
  <c r="B26" i="15"/>
  <c r="C26" i="15"/>
  <c r="D26" i="15"/>
  <c r="C27" i="15"/>
  <c r="D27" i="15"/>
  <c r="C28" i="15"/>
  <c r="D28" i="15"/>
  <c r="E28" i="15"/>
  <c r="B29" i="15"/>
  <c r="C29" i="15"/>
  <c r="E29" i="15"/>
  <c r="E30" i="15"/>
  <c r="C31" i="15"/>
  <c r="C32" i="15"/>
  <c r="D32" i="15"/>
  <c r="C33" i="15"/>
  <c r="D33" i="15"/>
  <c r="B34" i="15"/>
  <c r="C34" i="15"/>
  <c r="D34" i="15"/>
  <c r="E34" i="15"/>
  <c r="B35" i="15"/>
  <c r="D35" i="15"/>
  <c r="E35" i="15"/>
  <c r="B36" i="15"/>
  <c r="D36" i="15"/>
  <c r="E36" i="15"/>
  <c r="D37" i="15"/>
  <c r="E37" i="15"/>
  <c r="B38" i="15"/>
  <c r="E38" i="15"/>
  <c r="B39" i="15"/>
  <c r="D39" i="15"/>
  <c r="E39" i="15"/>
  <c r="E25" i="15"/>
  <c r="D25" i="15"/>
  <c r="D7" i="15"/>
  <c r="E7" i="15"/>
  <c r="E8" i="15"/>
  <c r="C9" i="15"/>
  <c r="D9" i="15"/>
  <c r="E10" i="15"/>
  <c r="C11" i="15"/>
  <c r="D11" i="15"/>
  <c r="E11" i="15"/>
  <c r="C12" i="15"/>
  <c r="D12" i="15"/>
  <c r="E12" i="15"/>
  <c r="C13" i="15"/>
  <c r="D14" i="15"/>
  <c r="E14" i="15"/>
  <c r="C15" i="15"/>
  <c r="D15" i="15"/>
  <c r="E15" i="15"/>
  <c r="C16" i="15"/>
  <c r="D16" i="15"/>
  <c r="E16" i="15"/>
  <c r="C17" i="15"/>
  <c r="D17" i="15"/>
  <c r="C18" i="15"/>
  <c r="D18" i="15"/>
  <c r="C19" i="15"/>
  <c r="D19" i="15"/>
  <c r="B16" i="15"/>
  <c r="B18" i="15"/>
  <c r="B19" i="15"/>
  <c r="C43" i="16" l="1"/>
  <c r="C62" i="16" s="1"/>
  <c r="S53" i="15"/>
  <c r="L59" i="15"/>
  <c r="Y21" i="13" s="1"/>
  <c r="B61" i="20"/>
  <c r="P40" i="15"/>
  <c r="Y25" i="14" s="1"/>
  <c r="S32" i="15"/>
  <c r="B23" i="20"/>
  <c r="B24" i="20" s="1"/>
  <c r="B40" i="15"/>
  <c r="S10" i="15"/>
  <c r="L21" i="15"/>
  <c r="Y21" i="6" s="1"/>
  <c r="S13" i="15"/>
  <c r="B61" i="18"/>
  <c r="S30" i="15"/>
  <c r="J40" i="15"/>
  <c r="Y19" i="14" s="1"/>
  <c r="S9" i="15"/>
  <c r="K21" i="15"/>
  <c r="Y20" i="6" s="1"/>
  <c r="S11" i="15"/>
  <c r="S12" i="15"/>
  <c r="J21" i="15"/>
  <c r="Y19" i="6" s="1"/>
  <c r="S7" i="15"/>
  <c r="I21" i="15"/>
  <c r="Y18" i="6" s="1"/>
  <c r="S6" i="15"/>
  <c r="S25" i="15"/>
  <c r="J59" i="15"/>
  <c r="Y19" i="13" s="1"/>
  <c r="B42" i="20"/>
  <c r="B61" i="19"/>
  <c r="B23" i="19"/>
  <c r="B24" i="19" s="1"/>
  <c r="B43" i="19" s="1"/>
  <c r="B62" i="19" s="1"/>
  <c r="C45" i="15"/>
  <c r="B42" i="18"/>
  <c r="B23" i="18"/>
  <c r="B24" i="18" s="1"/>
  <c r="F16" i="15"/>
  <c r="B61" i="16"/>
  <c r="B44" i="15"/>
  <c r="B42" i="16"/>
  <c r="I59" i="15"/>
  <c r="Y18" i="13" s="1"/>
  <c r="S45" i="15"/>
  <c r="I40" i="15"/>
  <c r="Y18" i="14" s="1"/>
  <c r="S15" i="15"/>
  <c r="F13" i="15"/>
  <c r="F57" i="15"/>
  <c r="F12" i="15"/>
  <c r="F50" i="15"/>
  <c r="F30" i="15"/>
  <c r="F9" i="15"/>
  <c r="F37" i="15"/>
  <c r="F8" i="15"/>
  <c r="F18" i="15"/>
  <c r="F7" i="15"/>
  <c r="F33" i="15"/>
  <c r="F10" i="15"/>
  <c r="F32" i="15"/>
  <c r="F28" i="15"/>
  <c r="F38" i="15"/>
  <c r="F58" i="15"/>
  <c r="F51" i="15"/>
  <c r="F34" i="15"/>
  <c r="F27" i="15"/>
  <c r="F54" i="15"/>
  <c r="F47" i="15"/>
  <c r="F26" i="15"/>
  <c r="F53" i="15"/>
  <c r="F29" i="15"/>
  <c r="F49" i="15"/>
  <c r="F39" i="15"/>
  <c r="F52" i="15"/>
  <c r="F48" i="15"/>
  <c r="F17" i="15"/>
  <c r="F46" i="15"/>
  <c r="F36" i="15"/>
  <c r="F56" i="15"/>
  <c r="F19" i="15"/>
  <c r="F45" i="15"/>
  <c r="F35" i="15"/>
  <c r="F55" i="15"/>
  <c r="F20" i="15"/>
  <c r="F15" i="15"/>
  <c r="F31" i="15"/>
  <c r="F14" i="15"/>
  <c r="B23" i="16"/>
  <c r="B24" i="16" s="1"/>
  <c r="B6" i="15"/>
  <c r="F6" i="15" s="1"/>
  <c r="F11" i="15"/>
  <c r="F25" i="15"/>
  <c r="E21" i="15"/>
  <c r="E22" i="15" s="1"/>
  <c r="E41" i="15" s="1"/>
  <c r="D22" i="15"/>
  <c r="D41" i="15" s="1"/>
  <c r="C21" i="15"/>
  <c r="C22" i="15" s="1"/>
  <c r="C41" i="15" s="1"/>
  <c r="S59" i="15" l="1"/>
  <c r="Y28" i="13" s="1"/>
  <c r="S40" i="15"/>
  <c r="Y28" i="14" s="1"/>
  <c r="B43" i="20"/>
  <c r="B62" i="20" s="1"/>
  <c r="F40" i="15"/>
  <c r="F44" i="15"/>
  <c r="F59" i="15" s="1"/>
  <c r="B59" i="15"/>
  <c r="S21" i="15"/>
  <c r="Y28" i="6" s="1"/>
  <c r="B43" i="16"/>
  <c r="B62" i="16" s="1"/>
  <c r="B43" i="18"/>
  <c r="B62" i="18" s="1"/>
  <c r="B21" i="15"/>
  <c r="B22" i="15" s="1"/>
  <c r="B41" i="15" s="1"/>
  <c r="E60" i="15"/>
  <c r="D60" i="15"/>
  <c r="C60" i="15"/>
  <c r="F21" i="15"/>
  <c r="F22" i="15" s="1"/>
  <c r="B60" i="15" l="1"/>
  <c r="F41" i="15"/>
  <c r="F60" i="15" s="1"/>
  <c r="P31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Mikael Soini</author>
  </authors>
  <commentList>
    <comment ref="A17" authorId="0" shapeId="0" xr:uid="{91E6FE4B-F1B8-4316-B09C-91AE02647219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Osion numero, tämä ei saa muuttua projektin aikana. Jos joku osio jää pois se jätetään kuitenkin kehitysjonon tuleviin versioihin.
</t>
        </r>
      </text>
    </comment>
    <comment ref="B17" authorId="0" shapeId="0" xr:uid="{6C8FBB03-EE8C-4D59-A50A-A94B12330468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Kuvaa lyhyesti, mutta selkeästi kukin projektin osio. Tarkempi kuvaus tulee Sprinttien kehitysjonoon. Huomioi kurssin eri osioiden vaatimukset ja tehtävät.</t>
        </r>
      </text>
    </comment>
    <comment ref="C17" authorId="0" shapeId="0" xr:uid="{681B55E3-F382-41E0-92FA-650FD4C0D66C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PH=Projektin hallinta
LL=Lääkinnällisen laitteen suunniteltu käyttö
TT=Taustatutkimus
PK=Prototyypin kehitys
LD=Loppudokumentaatio/-esitys</t>
        </r>
      </text>
    </comment>
    <comment ref="D17" authorId="0" shapeId="0" xr:uid="{5D7B4E4A-9B3A-4474-A3E9-7E4EC18268C2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Osion prioriteetti: 1=pakko tehdä, 2=pitäisi tehdä, 3=olisi hyvä tehdä. Huomioi kurssin eri osioiden vaatimukset pakollisuudesta.</t>
        </r>
      </text>
    </comment>
    <comment ref="E17" authorId="0" shapeId="0" xr:uid="{5A1CC17E-9A6A-4A0C-A752-38E9BC89AECE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Alustava arvio missä sprintissä (1-3) suoritetaan.</t>
        </r>
      </text>
    </comment>
    <comment ref="F17" authorId="0" shapeId="0" xr:uid="{58D0E057-0973-4670-B2A0-9DB5EDAE2170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Alustava työmäärä arvio kuinka monta tuntia suorittaminen tarvitsee</t>
        </r>
      </text>
    </comment>
    <comment ref="G17" authorId="0" shapeId="0" xr:uid="{481E77DD-907C-455C-B9BA-3C4E5630D1C1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Arvio prosenteissa osion valmiusasteesta: 0…100%
</t>
        </r>
      </text>
    </comment>
    <comment ref="I17" authorId="0" shapeId="0" xr:uid="{98C0C14F-C590-4DC9-8026-D29BBC714B03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Osion numero, tämä ei saa muuttua projektin aikana.
</t>
        </r>
      </text>
    </comment>
    <comment ref="J17" authorId="0" shapeId="0" xr:uid="{0CBD7CF8-5F2D-469A-AA80-93A81D788170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Kuvaa lyhyesti, mutta selkeästi mitä tehtävässä tehdään. Miten liittyy projektin kehitysjonoon.</t>
        </r>
      </text>
    </comment>
    <comment ref="K17" authorId="0" shapeId="0" xr:uid="{E3EBB522-F3A2-46D2-8F3E-225E90D56A42}">
      <text>
        <r>
          <rPr>
            <b/>
            <sz val="9"/>
            <color indexed="81"/>
            <rFont val="Tahoma"/>
            <charset val="1"/>
          </rPr>
          <t>Mikael Soini:</t>
        </r>
        <r>
          <rPr>
            <sz val="9"/>
            <color indexed="81"/>
            <rFont val="Tahoma"/>
            <charset val="1"/>
          </rPr>
          <t xml:space="preserve">
Kuvaa millä menetelmillä tehtävä toteutetaan</t>
        </r>
      </text>
    </comment>
    <comment ref="L17" authorId="0" shapeId="0" xr:uid="{4300E566-58AA-4473-BC22-BE061253B80E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PH=Projektin hallinta
LL=Lääkinnällisen laitteen suunniteltu käyttö
TT=Taustatutkimus
PK=Prototyypin kehitys
LD=Loppudokumentaatio/-esitys</t>
        </r>
      </text>
    </comment>
    <comment ref="M17" authorId="0" shapeId="0" xr:uid="{9D8B0343-BFF2-483A-AF73-7936C3FD1B87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Osion prioriteetti: 1=pakko tehdä, 2=pitäisi tehdä, 3=olisi hyvä tehdä. Huomioi kurssin eri osioiden vaatimukset pakollisuudesta.</t>
        </r>
      </text>
    </comment>
    <comment ref="N17" authorId="0" shapeId="0" xr:uid="{2D4EE48A-980A-4CBB-B1F4-E877D4B2290B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Kuka henkilö ryhmästä vastaa tästä osiosta.</t>
        </r>
      </text>
    </comment>
    <comment ref="O17" authorId="0" shapeId="0" xr:uid="{E86C5730-2155-4FF8-84FF-926865952B2F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Ketkä ryhmästä osallistuvat tähän osioon
</t>
        </r>
      </text>
    </comment>
    <comment ref="P17" authorId="0" shapeId="0" xr:uid="{99162D93-A651-4A15-9171-FB46089BA6A2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Työmääräarvio kuinka monta tuntia tehtävän suorittamiseen tarvitaan</t>
        </r>
      </text>
    </comment>
    <comment ref="R17" authorId="0" shapeId="0" xr:uid="{B5833A21-47CE-4EFD-9B57-D6D560AA72D7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Osion numero, tämä ei saa muuttua projektin aikana. Jos joku osio jää pois se jätetään kuitenkin kehitysjonon tuleviin versioihin. Jäljitettävyys projektin kehitysjonoon tärkeää, jos esim. projektin kehitysjonon osio 1 laitetaan osiin niistä tulee 1.1, 1.2 jne.
</t>
        </r>
      </text>
    </comment>
    <comment ref="S17" authorId="0" shapeId="0" xr:uid="{953A8E32-E4C5-4C98-9A90-53C6AB43AB4B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Vertaa sprintin suunnitelmaan. Kerro muutokset.</t>
        </r>
      </text>
    </comment>
    <comment ref="T17" authorId="0" shapeId="0" xr:uid="{17A22FDB-C021-4098-B6E3-BBFC7D8602AF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Vertaa sprintin suunnitelmaan. Kerro muutokset.</t>
        </r>
      </text>
    </comment>
    <comment ref="U17" authorId="0" shapeId="0" xr:uid="{BF7D982C-D2EF-4042-912C-4AB929E63357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PH=Projektin hallinta
LL=Lääkinnällisen laitteen suunniteltu käyttö
TT=Taustatutkimus
PK=Prototyypin kehitys
LD=Loppudokumentaatio/-esitys</t>
        </r>
      </text>
    </comment>
    <comment ref="V17" authorId="0" shapeId="0" xr:uid="{EA5ED8E2-6DFE-4F38-94ED-958F736253DD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Osion prioriteetti: 1=pakko tehdä, 2=pitäisi tehdä, 3=olisi hyvä tehdä. Huomioi kurssin eri osioiden vaatimukset pakollisuudesta.</t>
        </r>
      </text>
    </comment>
    <comment ref="W17" authorId="0" shapeId="0" xr:uid="{415BF6EC-B020-4373-9CC5-B348B715F9CF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Kuka henkilö ryhmästä vastaa tästä osiosta.</t>
        </r>
      </text>
    </comment>
    <comment ref="X17" authorId="0" shapeId="0" xr:uid="{0C018F20-AF1C-4A3B-A909-08E6E60C6933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Ketkä ryhmästä osallistuvat tähän osioon
</t>
        </r>
      </text>
    </comment>
    <comment ref="Y17" authorId="0" shapeId="0" xr:uid="{F3B60A99-1190-4825-AEC3-CDFCCE847279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Tieto tulee automaattisesti toisilta välilehdiltä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Mikael Soini</author>
  </authors>
  <commentList>
    <comment ref="A17" authorId="0" shapeId="0" xr:uid="{409D1D42-7560-433F-ADC2-F588F396F083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Osion numero, tämä ei saa muuttua projektin aikana. Jos joku osio jää pois se jätetään kuitenkin kehitysjonon tuleviin versioihin.
</t>
        </r>
      </text>
    </comment>
    <comment ref="B17" authorId="0" shapeId="0" xr:uid="{342375A5-ABE6-42C3-92F7-A28E53B2F131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Kuvaa lyhyesti, mutta selkeästi kukin projektin osio. Tarkempi kuvaus tulee Sprinttien kehitysjonoon. Huomioi kurssin eri osioiden vaatimukset ja tehtävät.</t>
        </r>
      </text>
    </comment>
    <comment ref="C17" authorId="0" shapeId="0" xr:uid="{5BD50857-28ED-4518-9882-FCCBDDF1D7B4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PH=Projektin hallinta
LL=Lääkinnällisen laitteen suunniteltu käyttö
TT=Taustatutkimus
PK=Prototyypin kehitys
LD=Loppudokumentaatio/-esitys</t>
        </r>
      </text>
    </comment>
    <comment ref="D17" authorId="0" shapeId="0" xr:uid="{6C301EBE-7DA6-4F15-AAC3-D61AC5F7F34D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Osion prioriteetti: 1=pakko tehdä, 2=pitäisi tehdä, 3=olisi hyvä tehdä. Huomioi kurssin eri osioiden vaatimukset pakollisuudesta.</t>
        </r>
      </text>
    </comment>
    <comment ref="E17" authorId="0" shapeId="0" xr:uid="{79D9496B-FC53-4415-91AC-71F912408CC2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Alustava arvio missä sprintissä (1-3) suoritetaan.</t>
        </r>
      </text>
    </comment>
    <comment ref="F17" authorId="0" shapeId="0" xr:uid="{AB2FE526-B124-4CE1-BF66-79237340BCB6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Alustava työmäärä arvio kuinka monta tuntia suorittaminen tarvitsee</t>
        </r>
      </text>
    </comment>
    <comment ref="G17" authorId="0" shapeId="0" xr:uid="{2E23F954-CCF9-47A5-BC41-BD4D5CA746B3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Arvio prosenteissa osion valmiusasteesta: 0…100%
</t>
        </r>
      </text>
    </comment>
    <comment ref="I17" authorId="0" shapeId="0" xr:uid="{AAA2D9A1-C067-480D-B1A1-CC5D15F1FB11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Osion numero, tämä ei saa muuttua projektin aikana.
</t>
        </r>
      </text>
    </comment>
    <comment ref="J17" authorId="0" shapeId="0" xr:uid="{D193F76B-D414-4696-BACE-F10097F0197D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Kuvaa lyhyesti, mutta selkeästi mitä tehtävässä tehdään. Miten liittyy projektin kehitysjonoon.</t>
        </r>
      </text>
    </comment>
    <comment ref="K17" authorId="0" shapeId="0" xr:uid="{EFCC809C-E408-45E1-9F30-31FEEEEADF8A}">
      <text>
        <r>
          <rPr>
            <b/>
            <sz val="9"/>
            <color indexed="81"/>
            <rFont val="Tahoma"/>
            <charset val="1"/>
          </rPr>
          <t>Mikael Soini:</t>
        </r>
        <r>
          <rPr>
            <sz val="9"/>
            <color indexed="81"/>
            <rFont val="Tahoma"/>
            <charset val="1"/>
          </rPr>
          <t xml:space="preserve">
Kuvaa millä menetelmillä tehtävä toteutetaan</t>
        </r>
      </text>
    </comment>
    <comment ref="L17" authorId="0" shapeId="0" xr:uid="{8E29D36C-27C7-4814-B2BF-6EE5B63E2A50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PH=Projektin hallinta
TT=Taustatutkimus
PK=Prototyypin kehitys
LD=Loppudokumentaatio/-esitys</t>
        </r>
      </text>
    </comment>
    <comment ref="M17" authorId="0" shapeId="0" xr:uid="{2E1DAAF5-718E-454B-A784-FB411EB1EB6C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Osion prioriteetti: 1=pakko tehdä, 2=pitäisi tehdä, 3=olisi hyvä tehdä. Huomioi kurssin eri osioiden vaatimukset pakollisuudesta.</t>
        </r>
      </text>
    </comment>
    <comment ref="N17" authorId="0" shapeId="0" xr:uid="{E9749D59-EB4C-49EF-813E-A6FD4FC4405F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Kuka henkilö ryhmästä vastaa tästä osiosta.</t>
        </r>
      </text>
    </comment>
    <comment ref="O17" authorId="0" shapeId="0" xr:uid="{B37C28AA-84DA-4916-84EE-72B7E7E1526F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Ketkä ryhmästä osallistuvat tähän osioon
</t>
        </r>
      </text>
    </comment>
    <comment ref="P17" authorId="0" shapeId="0" xr:uid="{C9175698-2E5D-4FC1-948C-FBDE071C93DC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Työmääräarvio kuinka monta tuntia tehtävän suorittamiseen tarvitaan</t>
        </r>
      </text>
    </comment>
    <comment ref="R17" authorId="0" shapeId="0" xr:uid="{EEF9F60B-6522-4E1E-A031-6EC3EC00AEC8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Osion numero, tämä ei saa muuttua projektin aikana. Jos joku osio jää pois se jätetään kuitenkin kehitysjonon tuleviin versioihin. Jäljitettävyys projektin kehitysjonoon tärkeää, jos esim. projektin kehitysjonon osio 1 laitetaan osiin niistä tulee 1.1, 1.2 jne.
</t>
        </r>
      </text>
    </comment>
    <comment ref="S17" authorId="0" shapeId="0" xr:uid="{D766127E-E4DE-4BAC-87D7-3D24A23DD6AE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Vertaa sprintin suunnitelmaan. Kerro muutokset.</t>
        </r>
      </text>
    </comment>
    <comment ref="T17" authorId="0" shapeId="0" xr:uid="{5989B454-7F7D-4DC4-B0A4-68F3B5969600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Vertaa sprintin suunnitelmaan. Kerro muutokset.</t>
        </r>
      </text>
    </comment>
    <comment ref="U17" authorId="0" shapeId="0" xr:uid="{E446787B-58F5-43BF-994A-3EBA586AAD79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PH=Projektin hallinta
TT=Taustatutkimus
PK=Prototyypin kehitys
LD=Loppudokumentaatio/-esitys</t>
        </r>
      </text>
    </comment>
    <comment ref="V17" authorId="0" shapeId="0" xr:uid="{4E8D9D6C-C8EF-4FB4-8DF4-10164BFAA309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Osion prioriteetti: 1=pakko tehdä, 2=pitäisi tehdä, 3=olisi hyvä tehdä. Huomioi kurssin eri osioiden vaatimukset pakollisuudesta.</t>
        </r>
      </text>
    </comment>
    <comment ref="W17" authorId="0" shapeId="0" xr:uid="{40C04457-1838-43F6-ABC3-09313A685A43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Kuka henkilö ryhmästä vastaa tästä osiosta.</t>
        </r>
      </text>
    </comment>
    <comment ref="X17" authorId="0" shapeId="0" xr:uid="{E30F1148-88F6-4894-9A36-BED0ED6A71E9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Ketkä ryhmästä osallistuvat tähän osioon
</t>
        </r>
      </text>
    </comment>
    <comment ref="Y17" authorId="0" shapeId="0" xr:uid="{3CB514D2-6497-4E5B-9F78-526B488734F5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Tieto tulee automaattisesti toisilta välilehdiltä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Mikael Soini</author>
  </authors>
  <commentList>
    <comment ref="A17" authorId="0" shapeId="0" xr:uid="{295B9F3B-DD95-4F1A-9CE2-016CE3F4C80B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Osion numero, tämä ei saa muuttua projektin aikana. Jos joku osio jää pois se jätetään kuitenkin kehitysjonon tuleviin versioihin.
</t>
        </r>
      </text>
    </comment>
    <comment ref="B17" authorId="0" shapeId="0" xr:uid="{30E2F2A1-2462-4969-BB2D-8E06C7D13804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Kuvaa lyhyesti, mutta selkeästi kukin projektin osio. Tarkempi kuvaus tulee Sprinttien kehitysjonoon. Huomioi kurssin eri osioiden vaatimukset ja tehtävät.</t>
        </r>
      </text>
    </comment>
    <comment ref="C17" authorId="0" shapeId="0" xr:uid="{6B2B5C90-1ADD-49B5-B377-35918F08E8F7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PH=Projektin hallinta
LL=Lääkinnällisen laitteen suunniteltu käyttö
TT=Taustatutkimus
PK=Prototyypin kehitys
LD=Loppudokumentaatio/-esitys</t>
        </r>
      </text>
    </comment>
    <comment ref="D17" authorId="0" shapeId="0" xr:uid="{70889F76-420A-43D0-81C9-EBF959376961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Osion prioriteetti: 1=pakko tehdä, 2=pitäisi tehdä, 3=olisi hyvä tehdä. Huomioi kurssin eri osioiden vaatimukset pakollisuudesta.</t>
        </r>
      </text>
    </comment>
    <comment ref="E17" authorId="0" shapeId="0" xr:uid="{C7D29956-32CC-4B77-9650-D46019AEFED1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Alustava arvio missä sprintissä (1-3) suoritetaan.</t>
        </r>
      </text>
    </comment>
    <comment ref="F17" authorId="0" shapeId="0" xr:uid="{7C860F3B-4F82-4827-AE93-C4ACB476B1D9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Alustava työmäärä arvio kuinka monta tuntia suorittaminen tarvitsee</t>
        </r>
      </text>
    </comment>
    <comment ref="G17" authorId="0" shapeId="0" xr:uid="{F9799C53-D1DC-4944-A492-BBBF2B1AF79A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Arvio prosenteissa osion valmiusasteesta: 0…100%
</t>
        </r>
      </text>
    </comment>
    <comment ref="I17" authorId="0" shapeId="0" xr:uid="{D814A203-9735-423D-983E-E054A10F285E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Osion numero, tämä ei saa muuttua projektin aikana.
</t>
        </r>
      </text>
    </comment>
    <comment ref="J17" authorId="0" shapeId="0" xr:uid="{64F3F945-79D0-4625-962E-AC70E082B27B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Kuvaa lyhyesti, mutta selkeästi mitä tehtävässä tehdään. Miten liittyy projektin kehitysjonoon.</t>
        </r>
      </text>
    </comment>
    <comment ref="K17" authorId="0" shapeId="0" xr:uid="{38D90CB0-8924-43EA-BC82-49ECFA4EFB15}">
      <text>
        <r>
          <rPr>
            <b/>
            <sz val="9"/>
            <color indexed="81"/>
            <rFont val="Tahoma"/>
            <charset val="1"/>
          </rPr>
          <t>Mikael Soini:</t>
        </r>
        <r>
          <rPr>
            <sz val="9"/>
            <color indexed="81"/>
            <rFont val="Tahoma"/>
            <charset val="1"/>
          </rPr>
          <t xml:space="preserve">
Kuvaa millä menetelmillä tehtävä toteutetaan</t>
        </r>
      </text>
    </comment>
    <comment ref="L17" authorId="0" shapeId="0" xr:uid="{D1478360-7CA5-424A-A185-625CD51E8E48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PH=Projektin hallinta
TT=Taustatutkimus
PK=Prototyypin kehitys
LD=Loppudokumentaatio/-esitys</t>
        </r>
      </text>
    </comment>
    <comment ref="M17" authorId="0" shapeId="0" xr:uid="{7332AFDF-9B7D-433C-96B4-A5CFF450BE19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Osion prioriteetti: 1=pakko tehdä, 2=pitäisi tehdä, 3=olisi hyvä tehdä. Huomioi kurssin eri osioiden vaatimukset pakollisuudesta.</t>
        </r>
      </text>
    </comment>
    <comment ref="N17" authorId="0" shapeId="0" xr:uid="{351E5918-5AA5-4C26-AB5B-49BC0B25EF36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Kuka henkilö ryhmästä vastaa tästä osiosta.</t>
        </r>
      </text>
    </comment>
    <comment ref="O17" authorId="0" shapeId="0" xr:uid="{94E0B121-7024-47BF-B74F-859371FD0D6B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Ketkä ryhmästä osallistuvat tähän osioon
</t>
        </r>
      </text>
    </comment>
    <comment ref="P17" authorId="0" shapeId="0" xr:uid="{AE555240-EE79-4406-A095-CFAD5A36FC51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Työmääräarvio kuinka monta tuntia tehtävän suorittamiseen tarvitaan</t>
        </r>
      </text>
    </comment>
    <comment ref="R17" authorId="0" shapeId="0" xr:uid="{5AB4CA0B-F337-4EC9-B99B-86B8FD14D620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Osion numero, tämä ei saa muuttua projektin aikana. Jos joku osio jää pois se jätetään kuitenkin kehitysjonon tuleviin versioihin. Jäljitettävyys projektin kehitysjonoon tärkeää, jos esim. projektin kehitysjonon osio 1 laitetaan osiin niistä tulee 1.1, 1.2 jne.
</t>
        </r>
      </text>
    </comment>
    <comment ref="S17" authorId="0" shapeId="0" xr:uid="{33C9340F-31E6-4540-80D8-4237A2899CEE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Vertaa sprintin suunnitelmaan. Kerro muutokset.</t>
        </r>
      </text>
    </comment>
    <comment ref="T17" authorId="0" shapeId="0" xr:uid="{74599D00-B2A3-4782-BAE4-80F7468AF6AB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Vertaa sprintin suunnitelmaan. Kerro muutokset.</t>
        </r>
      </text>
    </comment>
    <comment ref="U17" authorId="0" shapeId="0" xr:uid="{F40C1552-6BCC-42DB-A6FC-68075C6659F7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PH=Projektin hallinta
TT=Taustatutkimus
PK=Prototyypin kehitys
LD=Loppudokumentaatio/-esitys</t>
        </r>
      </text>
    </comment>
    <comment ref="V17" authorId="0" shapeId="0" xr:uid="{9398DA89-18CA-45C0-9079-C7FDF3AFB255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Osion prioriteetti: 1=pakko tehdä, 2=pitäisi tehdä, 3=olisi hyvä tehdä. Huomioi kurssin eri osioiden vaatimukset pakollisuudesta.</t>
        </r>
      </text>
    </comment>
    <comment ref="W17" authorId="0" shapeId="0" xr:uid="{342C0501-28CA-4863-A37C-66D763AE2551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Kuka henkilö ryhmästä vastaa tästä osiosta.</t>
        </r>
      </text>
    </comment>
    <comment ref="X17" authorId="0" shapeId="0" xr:uid="{7292FDBA-4BCB-42EF-B763-1EB18E996EF7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Ketkä ryhmästä osallistuvat tähän osioon
</t>
        </r>
      </text>
    </comment>
    <comment ref="Y17" authorId="0" shapeId="0" xr:uid="{4A63BC07-1B32-4776-A53D-82484E06F03D}">
      <text>
        <r>
          <rPr>
            <b/>
            <sz val="9"/>
            <color indexed="81"/>
            <rFont val="Tahoma"/>
            <family val="2"/>
          </rPr>
          <t>Mikael Soini:</t>
        </r>
        <r>
          <rPr>
            <sz val="9"/>
            <color indexed="81"/>
            <rFont val="Tahoma"/>
            <family val="2"/>
          </rPr>
          <t xml:space="preserve">
Tieto tulee automaattisesti toisilta välilehdiltä
</t>
        </r>
      </text>
    </comment>
  </commentList>
</comments>
</file>

<file path=xl/sharedStrings.xml><?xml version="1.0" encoding="utf-8"?>
<sst xmlns="http://schemas.openxmlformats.org/spreadsheetml/2006/main" count="940" uniqueCount="206">
  <si>
    <t>Projektin kehitysjono</t>
  </si>
  <si>
    <t>Prioriteetti</t>
  </si>
  <si>
    <t>Valmius</t>
  </si>
  <si>
    <t xml:space="preserve">Projekti: Mittaustiedon käsittely ja visualisointi </t>
  </si>
  <si>
    <t>Projektin eri osioiden kuvaus</t>
  </si>
  <si>
    <t>Kategoria</t>
  </si>
  <si>
    <t>Vastuu</t>
  </si>
  <si>
    <t>Sprintin katselmus (toteutuma)</t>
  </si>
  <si>
    <t>Sprintin numero: ______ Pvm: _________ Ryhmä: _______</t>
  </si>
  <si>
    <t>Mitä osioita sprintin aikana tehtiin</t>
  </si>
  <si>
    <t>Miten eri osiot tehtiin</t>
  </si>
  <si>
    <t>Tunnit yht.</t>
  </si>
  <si>
    <t>Sprintin kehitysjono (suunnitelma)</t>
  </si>
  <si>
    <t>Työmääräarvio</t>
  </si>
  <si>
    <t>Mitä osioita sprintin aikana tehdään</t>
  </si>
  <si>
    <t>Miten eri osiot tehdään</t>
  </si>
  <si>
    <t>Työmäärätoteutuma</t>
  </si>
  <si>
    <t>ID</t>
  </si>
  <si>
    <t>Tuntiseuranta</t>
  </si>
  <si>
    <t>Päivitetty:</t>
  </si>
  <si>
    <t>Projektin kumulatiivinen tuntimäärä</t>
  </si>
  <si>
    <t>Nimi:</t>
  </si>
  <si>
    <t>&lt;pvm&gt;</t>
  </si>
  <si>
    <t>Kuvaus tehdystä työstä</t>
  </si>
  <si>
    <t>Sprintti 1</t>
  </si>
  <si>
    <t>Jäsen 1</t>
  </si>
  <si>
    <t>Jäsen 2</t>
  </si>
  <si>
    <t>Jäsen 3</t>
  </si>
  <si>
    <t>Jäsen 4</t>
  </si>
  <si>
    <t>Sprintin kokonaistunnit</t>
  </si>
  <si>
    <t>Sprintti 2</t>
  </si>
  <si>
    <t>Sprintti 3</t>
  </si>
  <si>
    <t>Sprintti</t>
  </si>
  <si>
    <t>SPRINTTI 2: ti 11.11 - ti 25.11</t>
  </si>
  <si>
    <t>SPRINTTI 3: ke 26.11 - ke 10.12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</si>
  <si>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</si>
  <si>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</si>
  <si>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</si>
  <si>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</si>
  <si>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</si>
  <si>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</si>
  <si>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</si>
  <si>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</si>
  <si>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</si>
  <si>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</si>
  <si>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Osallistujat</t>
  </si>
  <si>
    <t>S1.1</t>
  </si>
  <si>
    <t>S1.2</t>
  </si>
  <si>
    <t>S1.3</t>
  </si>
  <si>
    <t>S1.4</t>
  </si>
  <si>
    <t>S1.5</t>
  </si>
  <si>
    <t>S1.6</t>
  </si>
  <si>
    <t>S1.7</t>
  </si>
  <si>
    <t>S1.8</t>
  </si>
  <si>
    <t>S1.9</t>
  </si>
  <si>
    <t>S1.10</t>
  </si>
  <si>
    <t>S2.1</t>
  </si>
  <si>
    <t>S2.2</t>
  </si>
  <si>
    <t>S2.3</t>
  </si>
  <si>
    <t>S2.4</t>
  </si>
  <si>
    <t>S2.5</t>
  </si>
  <si>
    <t>S2.6</t>
  </si>
  <si>
    <t>S2.7</t>
  </si>
  <si>
    <t>S2.8</t>
  </si>
  <si>
    <t>S2.9</t>
  </si>
  <si>
    <t>S2.10</t>
  </si>
  <si>
    <t>S3.1</t>
  </si>
  <si>
    <t>S3.2</t>
  </si>
  <si>
    <t>S3.3</t>
  </si>
  <si>
    <t>S3.4</t>
  </si>
  <si>
    <t>S3.5</t>
  </si>
  <si>
    <t>S3.6</t>
  </si>
  <si>
    <t>S3.7</t>
  </si>
  <si>
    <t>S3.8</t>
  </si>
  <si>
    <t>S3.9</t>
  </si>
  <si>
    <t>S3.10</t>
  </si>
  <si>
    <t>Sprintin retrospektiivi</t>
  </si>
  <si>
    <t>SPRINTTI 1: ma 27.10 - ma 10.11</t>
  </si>
  <si>
    <t>Tuntiseuranta - päivä- ja henkilökohtaiset tunnit</t>
  </si>
  <si>
    <t>Tuntiseuranta - päivä- ja sprinttikohtaiset tunnit</t>
  </si>
  <si>
    <r>
      <t xml:space="preserve">Projekti: Mittaustiedon käsittely ja visualisointi - </t>
    </r>
    <r>
      <rPr>
        <b/>
        <sz val="11"/>
        <color rgb="FFFF0000"/>
        <rFont val="Calibri"/>
        <family val="2"/>
        <scheme val="minor"/>
      </rPr>
      <t>HUOM! Tämä on automaattinen koonti projektiryhmäläisten työajoista. Älä täytä tunteja tai mitään muutakaan tälle välilehdelle!!!</t>
    </r>
  </si>
  <si>
    <t>Oma nimi</t>
  </si>
  <si>
    <r>
      <t xml:space="preserve">Projekti: Mittaustiedon käsittely ja visualisointi - </t>
    </r>
    <r>
      <rPr>
        <b/>
        <sz val="11"/>
        <color rgb="FFFF0000"/>
        <rFont val="Calibri"/>
        <family val="2"/>
        <scheme val="minor"/>
      </rPr>
      <t>HUOM! Täytä tunnit päivä- ja sprinttitehtäväkohtaisesti taulukoihin + päiväkohtaiset kuvaukset. Älä täytä tunteja "Tunnit yht." -kohtaan !</t>
    </r>
  </si>
  <si>
    <t>Projektin tavoite, roolit ja viestintäkanavat määritelty</t>
  </si>
  <si>
    <t>Käyttäjäprofiilien ja suunnitellun käytön taulukko (v0.1)</t>
  </si>
  <si>
    <t>Riskien ja rajoitusten arviointi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</si>
  <si>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</si>
  <si>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</si>
  <si>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</si>
  <si>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</si>
  <si>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</si>
  <si>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</si>
  <si>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</si>
  <si>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</si>
  <si>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</si>
  <si>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Suunnittelu</t>
  </si>
  <si>
    <t>Tutkimus</t>
  </si>
  <si>
    <t>Tekninen suunnittelu</t>
  </si>
  <si>
    <t>Dokumentointi</t>
  </si>
  <si>
    <t>Hallinta / Kommunikaatio</t>
  </si>
  <si>
    <t>Tekninen kehitys</t>
  </si>
  <si>
    <t>Visualisointi / UI</t>
  </si>
  <si>
    <t>Testaus / Validointi</t>
  </si>
  <si>
    <t>Dokumentointi / Esitys</t>
  </si>
  <si>
    <t>Testaus</t>
  </si>
  <si>
    <t>AI / Validointi</t>
  </si>
  <si>
    <t>Hallinta / Dokumentointi</t>
  </si>
  <si>
    <t>Projektin aloitus, roolien ja viestintäkanavien määrittely</t>
  </si>
  <si>
    <t>Tiimitapaaminen, roolilista, GitHub ja Drive luotu</t>
  </si>
  <si>
    <t>Laadi taulukko käyttäjäryhmistä, konteksteista ja vaatimuksista</t>
  </si>
  <si>
    <t>Taustatutkimuksen suunnittelu ja hakusanalistan luonti</t>
  </si>
  <si>
    <t>Laadi tutkimuskysymykset, tietokannat, hakusanat</t>
  </si>
  <si>
    <t>Kirjallisuushaku ja artikkelien tiivistelmät</t>
  </si>
  <si>
    <t>Hae 10-15 artikkelia, valitse 3-5 ja tee tiivistelmät</t>
  </si>
  <si>
    <t>Taustatutkimus-dokumentti (luonnos)</t>
  </si>
  <si>
    <t>Kirjoita 2-4 sivua tärkeimmistä havannoista ja lähteistä</t>
  </si>
  <si>
    <t>Teknisten mittausvaatimusten määrittely (anturi, parametrit)</t>
  </si>
  <si>
    <t>Määritä mitattavat kulmat, taajuus, kiinnitys</t>
  </si>
  <si>
    <t>Mittausprotokollan luonnos (kyykky &amp; kävelytesti)</t>
  </si>
  <si>
    <t>Kuvaa anturin sijainti, toistot, olosuhteet</t>
  </si>
  <si>
    <t>Tee riskitaulukko (todennäköisyys, vaikutus, vähennystoimet)</t>
  </si>
  <si>
    <t>Ohjaajatapaaminen ja päästösten kirjaus</t>
  </si>
  <si>
    <t>Tapaaminen (30-60 min), kirjaa päätökset</t>
  </si>
  <si>
    <t>Väliarvioinnin valmistelu (mid-review)</t>
  </si>
  <si>
    <t>Tee 3-5 diaa (tavoite, taustatutkimus, protokolla)</t>
  </si>
  <si>
    <t>Tutkimus / Dokumentointi</t>
  </si>
  <si>
    <t>Esitys / Dokumentointi</t>
  </si>
  <si>
    <t>Project Lead</t>
  </si>
  <si>
    <t>Research Lead</t>
  </si>
  <si>
    <t>Technical Lead</t>
  </si>
  <si>
    <t>QA Lead</t>
  </si>
  <si>
    <t>UI / Presentation Lead</t>
  </si>
  <si>
    <t>Koko tiimi</t>
  </si>
  <si>
    <t>UX &amp; Project Lead</t>
  </si>
  <si>
    <t>Tutkimusryhmä</t>
  </si>
  <si>
    <t>QA / Protocol Owner</t>
  </si>
  <si>
    <t>MoveSense-anturin liittäminen ja datankeruu</t>
  </si>
  <si>
    <t>Kytke anturi BLE:n kautta, tallenna IMU-data CSV-muodossa</t>
  </si>
  <si>
    <t>Datan esikäsittely ja suodatus (Python)</t>
  </si>
  <si>
    <t>Toteuta Butterworth- tai Kalman-suodatin (scipy.signal)</t>
  </si>
  <si>
    <t>Kulmalaskenta ja visualisointi (Python)</t>
  </si>
  <si>
    <t>Laske polvikulmat (roll/pitch/yaw) ja piirrä käyrät</t>
  </si>
  <si>
    <t>AI-luokittelun integrointi</t>
  </si>
  <si>
    <t>Lähetä esikäsitelty data mallille, vastaanota liikeanalyysi</t>
  </si>
  <si>
    <t>AI:n tulosten validointi (liikkeen tunnistus)</t>
  </si>
  <si>
    <t>Tarkista, tunnistaako AI oikein liikkeen (kyykky, kävely, sivuttaisliike)</t>
  </si>
  <si>
    <t>Käyttöliittymän ensimmäinen versio (Figma)</t>
  </si>
  <si>
    <t>Suunnittele näkymät: graafi, AI-tulkinta, varoitukset</t>
  </si>
  <si>
    <t>Datan visualisointi käyttöliittymässä</t>
  </si>
  <si>
    <t>Lisää prototyyppiin reaaliaikainen graafi ja kulmatiedot</t>
  </si>
  <si>
    <t>Kyykky- ja kävelytestin pilottimittaus</t>
  </si>
  <si>
    <t>Testaa anturia 2-3 henkilöllä, kerää esimerkkidata</t>
  </si>
  <si>
    <t>Mid-review-esityksen valmistelu</t>
  </si>
  <si>
    <t>Laadi 4-6 diaa: tavoite, menetelmät, datan tulokset, AI-demo</t>
  </si>
  <si>
    <t>Palautteen keruu ja kehityssuunnitelma Sprintti 3:lle</t>
  </si>
  <si>
    <t>Kirjaa saadut kommentit ja tee jatkosuunnitelma</t>
  </si>
  <si>
    <t>AI / ML</t>
  </si>
  <si>
    <t>Data Engineer</t>
  </si>
  <si>
    <t>ML Engineer</t>
  </si>
  <si>
    <t>UI Lead</t>
  </si>
  <si>
    <t>Testisuunnitelman viimeistely</t>
  </si>
  <si>
    <t>Laadi testiprotokolla (kyykky- ja kävelytesti, toistot, olosuhteet, osallistujat)</t>
  </si>
  <si>
    <t>Kyykkytestien toteutus (2-3 osallistujaa)</t>
  </si>
  <si>
    <t>Kerää MoveSense-dataa, dokumentoi olosuhteet ja toistot</t>
  </si>
  <si>
    <t>Kävelytestien toteutus</t>
  </si>
  <si>
    <t>Tee vastaavat mittaukset kävelystä</t>
  </si>
  <si>
    <t>Datan käsittely ja kulmalaskenta</t>
  </si>
  <si>
    <t>Suodata data ja laske polvikulmat (roll/pitch/yaw) Pythonilla</t>
  </si>
  <si>
    <t>Tulosten validointi ja vertailu kirjallisuuteen</t>
  </si>
  <si>
    <t>Laske virhemarginaalit ja tee vertailutaulukko (literatuuri vs mittaus)</t>
  </si>
  <si>
    <t>AI-luokittelun tarkkuuden arviointi</t>
  </si>
  <si>
    <t>Arvioi AI:n onnistumisprosentti (accuracy, confusion, matrix)</t>
  </si>
  <si>
    <t>Figma-käyttöliittymän viimeistely</t>
  </si>
  <si>
    <t>Lisää todelliset tulokset ja AI-tulkinnat käyttöliittymään</t>
  </si>
  <si>
    <t>Loppuraportin kirjoittaminen</t>
  </si>
  <si>
    <t>Koosta 4-6 sivun tekninen raportti tuloksista ja pohdinnasta</t>
  </si>
  <si>
    <t>Posterin ja esityksen laatiminen</t>
  </si>
  <si>
    <t>Luo visuaalinen yhteenveto ja valmistautuminen loppuesitykseen</t>
  </si>
  <si>
    <t>Loppuesitys ja retrospektiivipalaveri</t>
  </si>
  <si>
    <t>Esitä projekti, kerää palaute, arvioi parannukset</t>
  </si>
  <si>
    <t>Testaus / Suunnittelu</t>
  </si>
  <si>
    <t>Tekninen kehitys / Analyysi</t>
  </si>
  <si>
    <t>Analyysi / Tutkimus</t>
  </si>
  <si>
    <t>Hallinta / kommunikaatio</t>
  </si>
  <si>
    <t>Sprintin numero: 1 | Pvm: 27.10.25 | Ryhmä: the A-team</t>
  </si>
  <si>
    <t>Versio: 0.1 | Pvm:  27.10.25 | Ryhmä: the A-team</t>
  </si>
  <si>
    <t>Versio: 0.1 | Pvm: 27.10.25 | Ryhmä: the A-team</t>
  </si>
  <si>
    <t>Sprintin numero: 2 | Pvm: 27.10.25 | Ryhmä: the A-team</t>
  </si>
  <si>
    <t>Sprintin numero: 3 | Pvm: 27.10.25 | Ryhmä: the A-team</t>
  </si>
  <si>
    <t>Valmis</t>
  </si>
  <si>
    <t>Keskellä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</si>
  <si>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</si>
  <si>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</si>
  <si>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</si>
  <si>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</si>
  <si>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</si>
  <si>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</si>
  <si>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</si>
  <si>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</si>
  <si>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</si>
  <si>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</si>
  <si>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</si>
  <si>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-</t>
  </si>
  <si>
    <t>A</t>
  </si>
  <si>
    <t>27.10.2025</t>
  </si>
  <si>
    <t>Tiimi perusti projektin rakenteen ja roolit, määritti viestintäkanavat ja aikataulun.
Laadittiin käyttäjäprofiilitaulukko (v0.1) sekä suunniteltiin ja aloitettiin kirjallisuushaku — 3–5 keskeistä lähdettä tunnistettu ja tallennettu jatkoanalyysiä varten.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</si>
</sst>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0" tint="-0.34998626667073579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theme="0" tint="-0.3499862666707357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0" fillId="0" borderId="1" xfId="0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5" fillId="0" borderId="0" xfId="0" applyFont="1"/>
    <xf numFmtId="0" fontId="6" fillId="0" borderId="0" xfId="0" applyFont="1"/>
    <xf numFmtId="0" fontId="1" fillId="0" borderId="0" xfId="0" applyFont="1"/>
    <xf numFmtId="49" fontId="5" fillId="0" borderId="0" xfId="0" applyNumberFormat="1" applyFont="1"/>
    <xf numFmtId="49" fontId="2" fillId="0" borderId="0" xfId="0" applyNumberFormat="1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0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10" fillId="0" borderId="1" xfId="0" applyFont="1" applyBorder="1" applyAlignment="1">
      <alignment horizontal="center"/>
    </xf>
    <xf numFmtId="0" fontId="10" fillId="0" borderId="1" xfId="0" applyFont="1" applyBorder="1"/>
    <xf numFmtId="49" fontId="10" fillId="0" borderId="0" xfId="0" applyNumberFormat="1" applyFont="1"/>
    <xf numFmtId="0" fontId="7" fillId="0" borderId="0" xfId="0" applyFont="1" applyAlignment="1">
      <alignment horizontal="center"/>
    </xf>
    <xf numFmtId="0" fontId="8" fillId="3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14" fontId="1" fillId="0" borderId="0" xfId="0" applyNumberFormat="1" applyFon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14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right" vertical="center" wrapText="1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14" fontId="2" fillId="0" borderId="0" xfId="0" applyNumberFormat="1" applyFont="1" applyAlignment="1">
      <alignment vertical="center"/>
    </xf>
    <xf numFmtId="14" fontId="0" fillId="0" borderId="1" xfId="0" applyNumberFormat="1" applyBorder="1" applyAlignment="1">
      <alignment horizontal="right" vertical="center"/>
    </xf>
    <xf numFmtId="0" fontId="0" fillId="0" borderId="0" xfId="0" applyAlignment="1">
      <alignment vertical="center"/>
    </xf>
    <xf numFmtId="0" fontId="8" fillId="4" borderId="2" xfId="0" applyFont="1" applyFill="1" applyBorder="1"/>
    <xf numFmtId="0" fontId="0" fillId="4" borderId="3" xfId="0" applyFill="1" applyBorder="1"/>
    <xf numFmtId="0" fontId="0" fillId="4" borderId="4" xfId="0" applyFill="1" applyBorder="1"/>
    <xf numFmtId="0" fontId="8" fillId="5" borderId="2" xfId="0" applyFont="1" applyFill="1" applyBorder="1"/>
    <xf numFmtId="0" fontId="0" fillId="5" borderId="3" xfId="0" applyFill="1" applyBorder="1"/>
    <xf numFmtId="0" fontId="0" fillId="5" borderId="4" xfId="0" applyFill="1" applyBorder="1"/>
    <xf numFmtId="0" fontId="1" fillId="3" borderId="1" xfId="0" applyFont="1" applyFill="1" applyBorder="1" applyAlignment="1">
      <alignment horizontal="center"/>
    </xf>
    <xf numFmtId="14" fontId="0" fillId="6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horizontal="center"/>
    </xf>
    <xf numFmtId="14" fontId="0" fillId="5" borderId="1" xfId="0" applyNumberFormat="1" applyFill="1" applyBorder="1" applyAlignment="1">
      <alignment horizontal="right" vertical="center"/>
    </xf>
    <xf numFmtId="0" fontId="0" fillId="5" borderId="1" xfId="0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left" vertical="center"/>
    </xf>
    <xf numFmtId="49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49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14" fontId="0" fillId="4" borderId="1" xfId="0" applyNumberFormat="1" applyFill="1" applyBorder="1" applyAlignment="1">
      <alignment horizontal="right" vertical="center"/>
    </xf>
    <xf numFmtId="0" fontId="0" fillId="4" borderId="1" xfId="0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center"/>
    </xf>
    <xf numFmtId="14" fontId="1" fillId="5" borderId="1" xfId="0" applyNumberFormat="1" applyFont="1" applyFill="1" applyBorder="1" applyAlignment="1">
      <alignment vertical="center"/>
    </xf>
    <xf numFmtId="14" fontId="1" fillId="4" borderId="1" xfId="0" applyNumberFormat="1" applyFont="1" applyFill="1" applyBorder="1" applyAlignment="1">
      <alignment vertical="center"/>
    </xf>
    <xf numFmtId="0" fontId="1" fillId="6" borderId="1" xfId="0" applyFont="1" applyFill="1" applyBorder="1" applyAlignment="1">
      <alignment horizontal="left"/>
    </xf>
    <xf numFmtId="0" fontId="0" fillId="6" borderId="1" xfId="0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4" borderId="1" xfId="0" applyFill="1" applyBorder="1" applyAlignment="1">
      <alignment horizontal="left"/>
    </xf>
    <xf numFmtId="14" fontId="12" fillId="0" borderId="0" xfId="0" applyNumberFormat="1" applyFont="1" applyAlignment="1">
      <alignment vertical="center"/>
    </xf>
    <xf numFmtId="0" fontId="1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7" fillId="0" borderId="1" xfId="0" applyFont="1" applyBorder="1" applyAlignment="1">
      <alignment horizontal="center"/>
    </xf>
    <xf numFmtId="0" fontId="7" fillId="0" borderId="1" xfId="0" applyFont="1" applyBorder="1"/>
    <xf numFmtId="0" fontId="1" fillId="7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6</xdr:row>
      <xdr:rowOff>85725</xdr:rowOff>
    </xdr:from>
    <xdr:to>
      <xdr:col>6</xdr:col>
      <xdr:colOff>0</xdr:colOff>
      <xdr:row>14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5F14E97-5BDA-46A4-83B6-731D5C140B53}"/>
            </a:ext>
          </a:extLst>
        </xdr:cNvPr>
        <xdr:cNvSpPr txBox="1"/>
      </xdr:nvSpPr>
      <xdr:spPr>
        <a:xfrm>
          <a:off x="57150" y="1329578"/>
          <a:ext cx="8223997" cy="1348628"/>
        </a:xfrm>
        <a:prstGeom prst="rect">
          <a:avLst/>
        </a:prstGeom>
        <a:solidFill>
          <a:sysClr val="window" lastClr="FFFFFF"/>
        </a:solidFill>
        <a:ln w="25400" cmpd="sng">
          <a:solidFill>
            <a:schemeClr val="accent6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i-FI" sz="1200" b="1">
              <a:solidFill>
                <a:schemeClr val="tx1"/>
              </a:solidFill>
              <a:latin typeface="+mn-lt"/>
            </a:rPr>
            <a:t>Projektin tavoite (valmis ma</a:t>
          </a:r>
          <a:r>
            <a:rPr lang="fi-FI" sz="1200" b="1" baseline="0">
              <a:solidFill>
                <a:schemeClr val="tx1"/>
              </a:solidFill>
              <a:latin typeface="+mn-lt"/>
            </a:rPr>
            <a:t> 27</a:t>
          </a:r>
          <a:r>
            <a:rPr lang="fi-FI" sz="1200" b="1">
              <a:solidFill>
                <a:schemeClr val="tx1"/>
              </a:solidFill>
              <a:latin typeface="+mn-lt"/>
            </a:rPr>
            <a:t>.10): </a:t>
          </a:r>
        </a:p>
        <a:p>
          <a:r>
            <a:rPr lang="fi-FI" sz="1200" b="0">
              <a:solidFill>
                <a:schemeClr val="tx1"/>
              </a:solidFill>
              <a:latin typeface="+mn-lt"/>
            </a:rPr>
            <a:t>	</a:t>
          </a:r>
          <a:r>
            <a:rPr lang="fi-FI" sz="1000" b="0">
              <a:solidFill>
                <a:schemeClr val="tx1"/>
              </a:solidFill>
              <a:latin typeface="+mn-lt"/>
            </a:rPr>
            <a:t>Projektin tavoitteena on kehittää tekoälypohjainen järjestelmä, joka tunnistaa ja analysoi alaraajan liikkeitä MoveSense-anturidatan avulla.</a:t>
          </a:r>
        </a:p>
        <a:p>
          <a:r>
            <a:rPr lang="fi-FI" sz="1000" b="0">
              <a:solidFill>
                <a:schemeClr val="tx1"/>
              </a:solidFill>
              <a:latin typeface="+mn-lt"/>
            </a:rPr>
            <a:t>	Järjestelmä pystyy tunnistamaan liikkeen tyypin (kyykky, kävely, sivuttaisliike) ja arvioimaan sen biomekaanisen oikeellisuuden, kuten polven varus- ja 	valgus-poikkeamat.</a:t>
          </a:r>
        </a:p>
        <a:p>
          <a:r>
            <a:rPr lang="fi-FI" sz="1000" b="0">
              <a:solidFill>
                <a:schemeClr val="tx1"/>
              </a:solidFill>
              <a:latin typeface="+mn-lt"/>
            </a:rPr>
            <a:t>	Pitkän aikavälin tavoitteena on tuottaa ratkaisu, jota voidaan hyödyntää urheilussa, kuntoutuksessa ja terveysteknologiassa </a:t>
          </a:r>
          <a:r>
            <a:rPr lang="ru-RU" sz="1000" b="0">
              <a:solidFill>
                <a:schemeClr val="tx1"/>
              </a:solidFill>
              <a:latin typeface="+mn-lt"/>
            </a:rPr>
            <a:t>	</a:t>
          </a:r>
          <a:r>
            <a:rPr lang="fi-FI" sz="1000" b="0">
              <a:solidFill>
                <a:schemeClr val="tx1"/>
              </a:solidFill>
              <a:latin typeface="+mn-lt"/>
            </a:rPr>
            <a:t>liikeanalyysin ja nivelrikon 	riskin arvioinnin tukena.</a:t>
          </a:r>
        </a:p>
      </xdr:txBody>
    </xdr:sp>
    <xdr:clientData/>
  </xdr:twoCellAnchor>
  <xdr:twoCellAnchor>
    <xdr:from>
      <xdr:col>17</xdr:col>
      <xdr:colOff>57151</xdr:colOff>
      <xdr:row>6</xdr:row>
      <xdr:rowOff>82550</xdr:rowOff>
    </xdr:from>
    <xdr:to>
      <xdr:col>24</xdr:col>
      <xdr:colOff>0</xdr:colOff>
      <xdr:row>14</xdr:row>
      <xdr:rowOff>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5C82C90-1536-4B11-80DC-86AF6695D0F5}"/>
            </a:ext>
          </a:extLst>
        </xdr:cNvPr>
        <xdr:cNvSpPr txBox="1"/>
      </xdr:nvSpPr>
      <xdr:spPr>
        <a:xfrm>
          <a:off x="24269327" y="1345079"/>
          <a:ext cx="8974792" cy="1411568"/>
        </a:xfrm>
        <a:prstGeom prst="rect">
          <a:avLst/>
        </a:prstGeom>
        <a:solidFill>
          <a:schemeClr val="lt1"/>
        </a:solidFill>
        <a:ln w="25400" cmpd="sng">
          <a:solidFill>
            <a:schemeClr val="accent6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i-FI" sz="1200" b="1">
              <a:solidFill>
                <a:schemeClr val="tx1"/>
              </a:solidFill>
            </a:rPr>
            <a:t>Sprintissa</a:t>
          </a:r>
          <a:r>
            <a:rPr lang="fi-FI" sz="1200" b="1" baseline="0">
              <a:solidFill>
                <a:schemeClr val="tx1"/>
              </a:solidFill>
            </a:rPr>
            <a:t> saavutetut</a:t>
          </a:r>
          <a:r>
            <a:rPr lang="fi-FI" sz="1200" b="1">
              <a:solidFill>
                <a:schemeClr val="tx1"/>
              </a:solidFill>
            </a:rPr>
            <a:t> inkrementit (valmis ma 11.11): </a:t>
          </a:r>
        </a:p>
      </xdr:txBody>
    </xdr:sp>
    <xdr:clientData/>
  </xdr:twoCellAnchor>
  <xdr:twoCellAnchor>
    <xdr:from>
      <xdr:col>8</xdr:col>
      <xdr:colOff>57150</xdr:colOff>
      <xdr:row>6</xdr:row>
      <xdr:rowOff>106148</xdr:rowOff>
    </xdr:from>
    <xdr:to>
      <xdr:col>14</xdr:col>
      <xdr:colOff>724647</xdr:colOff>
      <xdr:row>15</xdr:row>
      <xdr:rowOff>100852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9DCA015-C86E-4EC8-9CBA-25699953606C}"/>
            </a:ext>
          </a:extLst>
        </xdr:cNvPr>
        <xdr:cNvSpPr txBox="1"/>
      </xdr:nvSpPr>
      <xdr:spPr>
        <a:xfrm>
          <a:off x="9561299" y="1342029"/>
          <a:ext cx="8833408" cy="1632435"/>
        </a:xfrm>
        <a:prstGeom prst="rect">
          <a:avLst/>
        </a:prstGeom>
        <a:solidFill>
          <a:schemeClr val="lt1"/>
        </a:solidFill>
        <a:ln w="25400" cmpd="sng">
          <a:solidFill>
            <a:schemeClr val="accent6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i-FI" sz="1000" b="1">
              <a:solidFill>
                <a:schemeClr val="tx1"/>
              </a:solidFill>
              <a:latin typeface="+mn-lt"/>
            </a:rPr>
            <a:t>Sprintin tavoite </a:t>
          </a:r>
          <a:r>
            <a:rPr lang="fi-FI" sz="10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(valmis ma 27.10)</a:t>
          </a:r>
          <a:r>
            <a:rPr lang="fi-FI" sz="1000" b="1">
              <a:solidFill>
                <a:schemeClr val="tx1"/>
              </a:solidFill>
              <a:latin typeface="+mn-lt"/>
            </a:rPr>
            <a:t>: </a:t>
          </a:r>
        </a:p>
        <a:p>
          <a:r>
            <a:rPr lang="fi-FI" sz="1000" b="1">
              <a:solidFill>
                <a:schemeClr val="tx1"/>
              </a:solidFill>
              <a:latin typeface="+mn-lt"/>
            </a:rPr>
            <a:t>	</a:t>
          </a:r>
          <a:r>
            <a:rPr lang="en-GB" sz="1000">
              <a:latin typeface="+mn-lt"/>
            </a:rPr>
            <a:t>Sprintin 1 tavoitteena on saattaa päätökseen projektin tutkimuksellinen ja konseptuaalinen osuus.</a:t>
          </a:r>
          <a:br>
            <a:rPr lang="en-GB" sz="1000">
              <a:latin typeface="+mn-lt"/>
            </a:rPr>
          </a:br>
          <a:r>
            <a:rPr lang="en-GB" sz="1000">
              <a:latin typeface="+mn-lt"/>
            </a:rPr>
            <a:t>	Tavoitteena on:</a:t>
          </a:r>
          <a:br>
            <a:rPr lang="en-GB" sz="1000">
              <a:latin typeface="+mn-lt"/>
            </a:rPr>
          </a:br>
          <a:r>
            <a:rPr lang="en-GB" sz="1000">
              <a:latin typeface="+mn-lt"/>
            </a:rPr>
            <a:t>		– Valita kohderyhmä ja määritellä käyttäjäprofiilit sekä käyttökontekstit.</a:t>
          </a:r>
          <a:br>
            <a:rPr lang="en-GB" sz="1000">
              <a:latin typeface="+mn-lt"/>
            </a:rPr>
          </a:br>
          <a:r>
            <a:rPr lang="en-GB" sz="1000">
              <a:latin typeface="+mn-lt"/>
            </a:rPr>
            <a:t>		– Toteuttaa taustatutkimus (3–5 tieteellistä lähdettä) ja määrittää mittaustavoitteet ja -vaatimukset.</a:t>
          </a:r>
          <a:br>
            <a:rPr lang="en-GB" sz="1000">
              <a:latin typeface="+mn-lt"/>
            </a:rPr>
          </a:br>
          <a:r>
            <a:rPr lang="en-GB" sz="1000">
              <a:latin typeface="+mn-lt"/>
            </a:rPr>
            <a:t>		– Laatia tekninen spesifikaatio ja mittausprotokollan luonnos (kyykky- ja kävelytesti).</a:t>
          </a:r>
          <a:br>
            <a:rPr lang="en-GB" sz="1000">
              <a:latin typeface="+mn-lt"/>
            </a:rPr>
          </a:br>
          <a:r>
            <a:rPr lang="en-GB" sz="1000">
              <a:latin typeface="+mn-lt"/>
            </a:rPr>
            <a:t>		– Kuvata keskeiset riskit ja rajoitukset.</a:t>
          </a:r>
          <a:br>
            <a:rPr lang="en-GB" sz="1000">
              <a:latin typeface="+mn-lt"/>
            </a:rPr>
          </a:br>
          <a:r>
            <a:rPr lang="en-GB" sz="1000">
              <a:latin typeface="+mn-lt"/>
            </a:rPr>
            <a:t>		– Järjestää ohjaajatapaaminen, jossa vahvistetaan tekninen suunnitelma ja seuraavan sprintin painopisteet.</a:t>
          </a:r>
          <a:br>
            <a:rPr lang="en-GB" sz="1000">
              <a:latin typeface="+mn-lt"/>
            </a:rPr>
          </a:br>
          <a:r>
            <a:rPr lang="en-GB" sz="1000">
              <a:latin typeface="+mn-lt"/>
            </a:rPr>
            <a:t>	Sprintin lopussa tiimillä on valmis dokumenttipaketti, joka sisältää </a:t>
          </a:r>
          <a:r>
            <a:rPr lang="en-GB" sz="1000" i="1">
              <a:latin typeface="+mn-lt"/>
            </a:rPr>
            <a:t>Taustatutkimuksen</a:t>
          </a:r>
          <a:r>
            <a:rPr lang="en-GB" sz="1000">
              <a:latin typeface="+mn-lt"/>
            </a:rPr>
            <a:t>, </a:t>
          </a:r>
          <a:r>
            <a:rPr lang="en-GB" sz="1000" i="1">
              <a:latin typeface="+mn-lt"/>
            </a:rPr>
            <a:t>Suunniteltu käyttö</a:t>
          </a:r>
          <a:r>
            <a:rPr lang="en-GB" sz="1000">
              <a:latin typeface="+mn-lt"/>
            </a:rPr>
            <a:t> -taulukon, </a:t>
          </a:r>
          <a:r>
            <a:rPr lang="en-GB" sz="1000" i="1">
              <a:latin typeface="+mn-lt"/>
            </a:rPr>
            <a:t>Tekniset vaatimukset</a:t>
          </a:r>
          <a:r>
            <a:rPr lang="en-GB" sz="1000">
              <a:latin typeface="+mn-lt"/>
            </a:rPr>
            <a:t>, </a:t>
          </a:r>
          <a:r>
            <a:rPr lang="en-GB" sz="1000" i="1">
              <a:latin typeface="+mn-lt"/>
            </a:rPr>
            <a:t>Riskianalyysin</a:t>
          </a:r>
          <a:r>
            <a:rPr lang="en-GB" sz="1000">
              <a:latin typeface="+mn-lt"/>
            </a:rPr>
            <a:t> ja </a:t>
          </a:r>
          <a:r>
            <a:rPr lang="en-GB" sz="1000" i="1">
              <a:latin typeface="+mn-lt"/>
            </a:rPr>
            <a:t>Mittausprotokollan luonnoksen</a:t>
          </a:r>
          <a:r>
            <a:rPr lang="en-GB" sz="1000">
              <a:latin typeface="+mn-lt"/>
            </a:rPr>
            <a:t>.</a:t>
          </a:r>
          <a:endParaRPr lang="fi-FI" sz="1000" b="1">
            <a:solidFill>
              <a:schemeClr val="tx1"/>
            </a:solidFill>
            <a:latin typeface="+mn-lt"/>
          </a:endParaRPr>
        </a:p>
      </xdr:txBody>
    </xdr:sp>
    <xdr:clientData/>
  </xdr:twoCellAnchor>
  <xdr:twoCellAnchor>
    <xdr:from>
      <xdr:col>26</xdr:col>
      <xdr:colOff>57151</xdr:colOff>
      <xdr:row>6</xdr:row>
      <xdr:rowOff>82550</xdr:rowOff>
    </xdr:from>
    <xdr:to>
      <xdr:col>38</xdr:col>
      <xdr:colOff>25587</xdr:colOff>
      <xdr:row>30</xdr:row>
      <xdr:rowOff>156882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33A19C4-81BD-4536-8865-53B9D4D7B52E}"/>
            </a:ext>
          </a:extLst>
        </xdr:cNvPr>
        <xdr:cNvSpPr txBox="1"/>
      </xdr:nvSpPr>
      <xdr:spPr>
        <a:xfrm>
          <a:off x="33148122" y="1326403"/>
          <a:ext cx="7229847" cy="3973979"/>
        </a:xfrm>
        <a:prstGeom prst="rect">
          <a:avLst/>
        </a:prstGeom>
        <a:solidFill>
          <a:schemeClr val="lt1"/>
        </a:solidFill>
        <a:ln w="25400" cmpd="sng">
          <a:solidFill>
            <a:schemeClr val="accent6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i-FI" sz="1200" b="1">
              <a:solidFill>
                <a:schemeClr val="tx1"/>
              </a:solidFill>
            </a:rPr>
            <a:t>Sprintin retrospektiivipalaverin</a:t>
          </a:r>
          <a:r>
            <a:rPr lang="fi-FI" sz="1200" b="1" baseline="0">
              <a:solidFill>
                <a:schemeClr val="tx1"/>
              </a:solidFill>
            </a:rPr>
            <a:t> yhteenveto </a:t>
          </a:r>
          <a:r>
            <a:rPr lang="fi-FI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(valmis ma 11.11):</a:t>
          </a:r>
          <a:endParaRPr lang="fi-FI" sz="1200" b="1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224117</xdr:colOff>
      <xdr:row>8</xdr:row>
      <xdr:rowOff>64060</xdr:rowOff>
    </xdr:from>
    <xdr:to>
      <xdr:col>7</xdr:col>
      <xdr:colOff>385856</xdr:colOff>
      <xdr:row>11</xdr:row>
      <xdr:rowOff>140820</xdr:rowOff>
    </xdr:to>
    <xdr:sp macro="" textlink="">
      <xdr:nvSpPr>
        <xdr:cNvPr id="4" name="Arrow: Right 3">
          <a:extLst>
            <a:ext uri="{FF2B5EF4-FFF2-40B4-BE49-F238E27FC236}">
              <a16:creationId xmlns:a16="http://schemas.microsoft.com/office/drawing/2014/main" id="{5B89DBD9-1A16-479D-A222-0ED6C46982F2}"/>
            </a:ext>
          </a:extLst>
        </xdr:cNvPr>
        <xdr:cNvSpPr/>
      </xdr:nvSpPr>
      <xdr:spPr>
        <a:xfrm>
          <a:off x="8505264" y="1666501"/>
          <a:ext cx="901327" cy="614643"/>
        </a:xfrm>
        <a:prstGeom prst="rightArrow">
          <a:avLst/>
        </a:prstGeom>
        <a:solidFill>
          <a:schemeClr val="accent6"/>
        </a:solidFill>
        <a:ln>
          <a:solidFill>
            <a:schemeClr val="accent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i-FI" sz="1100"/>
        </a:p>
      </xdr:txBody>
    </xdr:sp>
    <xdr:clientData/>
  </xdr:twoCellAnchor>
  <xdr:twoCellAnchor>
    <xdr:from>
      <xdr:col>15</xdr:col>
      <xdr:colOff>891615</xdr:colOff>
      <xdr:row>8</xdr:row>
      <xdr:rowOff>56030</xdr:rowOff>
    </xdr:from>
    <xdr:to>
      <xdr:col>16</xdr:col>
      <xdr:colOff>349064</xdr:colOff>
      <xdr:row>11</xdr:row>
      <xdr:rowOff>123265</xdr:rowOff>
    </xdr:to>
    <xdr:sp macro="" textlink="">
      <xdr:nvSpPr>
        <xdr:cNvPr id="6" name="Arrow: Right 5">
          <a:extLst>
            <a:ext uri="{FF2B5EF4-FFF2-40B4-BE49-F238E27FC236}">
              <a16:creationId xmlns:a16="http://schemas.microsoft.com/office/drawing/2014/main" id="{BED186EB-2B0B-4834-B072-3D7A96F447B2}"/>
            </a:ext>
          </a:extLst>
        </xdr:cNvPr>
        <xdr:cNvSpPr/>
      </xdr:nvSpPr>
      <xdr:spPr>
        <a:xfrm>
          <a:off x="19538203" y="1658471"/>
          <a:ext cx="891802" cy="605118"/>
        </a:xfrm>
        <a:prstGeom prst="rightArrow">
          <a:avLst/>
        </a:prstGeom>
        <a:solidFill>
          <a:schemeClr val="accent6"/>
        </a:solidFill>
        <a:ln>
          <a:solidFill>
            <a:schemeClr val="accent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i-FI" sz="1100"/>
        </a:p>
      </xdr:txBody>
    </xdr:sp>
    <xdr:clientData/>
  </xdr:twoCellAnchor>
  <xdr:twoCellAnchor>
    <xdr:from>
      <xdr:col>24</xdr:col>
      <xdr:colOff>859678</xdr:colOff>
      <xdr:row>8</xdr:row>
      <xdr:rowOff>64060</xdr:rowOff>
    </xdr:from>
    <xdr:to>
      <xdr:col>25</xdr:col>
      <xdr:colOff>413124</xdr:colOff>
      <xdr:row>11</xdr:row>
      <xdr:rowOff>140820</xdr:rowOff>
    </xdr:to>
    <xdr:sp macro="" textlink="">
      <xdr:nvSpPr>
        <xdr:cNvPr id="8" name="Arrow: Right 7">
          <a:extLst>
            <a:ext uri="{FF2B5EF4-FFF2-40B4-BE49-F238E27FC236}">
              <a16:creationId xmlns:a16="http://schemas.microsoft.com/office/drawing/2014/main" id="{542F503B-1E17-4834-8338-90172A210588}"/>
            </a:ext>
          </a:extLst>
        </xdr:cNvPr>
        <xdr:cNvSpPr/>
      </xdr:nvSpPr>
      <xdr:spPr>
        <a:xfrm>
          <a:off x="30566472" y="1666501"/>
          <a:ext cx="898152" cy="614643"/>
        </a:xfrm>
        <a:prstGeom prst="rightArrow">
          <a:avLst/>
        </a:prstGeom>
        <a:solidFill>
          <a:schemeClr val="accent6"/>
        </a:solidFill>
        <a:ln>
          <a:solidFill>
            <a:schemeClr val="accent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i-FI" sz="1100"/>
        </a:p>
      </xdr:txBody>
    </xdr:sp>
    <xdr:clientData/>
  </xdr:twoCellAnchor>
  <xdr:twoCellAnchor>
    <xdr:from>
      <xdr:col>0</xdr:col>
      <xdr:colOff>10589</xdr:colOff>
      <xdr:row>16</xdr:row>
      <xdr:rowOff>266372</xdr:rowOff>
    </xdr:from>
    <xdr:to>
      <xdr:col>6</xdr:col>
      <xdr:colOff>729660</xdr:colOff>
      <xdr:row>27</xdr:row>
      <xdr:rowOff>74977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A579331C-F4F4-4728-B76F-84DEEC4FC83F}"/>
            </a:ext>
          </a:extLst>
        </xdr:cNvPr>
        <xdr:cNvSpPr/>
      </xdr:nvSpPr>
      <xdr:spPr>
        <a:xfrm>
          <a:off x="10589" y="3303789"/>
          <a:ext cx="9661988" cy="1914688"/>
        </a:xfrm>
        <a:prstGeom prst="rect">
          <a:avLst/>
        </a:prstGeom>
        <a:noFill/>
        <a:ln w="57150">
          <a:solidFill>
            <a:schemeClr val="accent6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6</xdr:row>
      <xdr:rowOff>85725</xdr:rowOff>
    </xdr:from>
    <xdr:to>
      <xdr:col>6</xdr:col>
      <xdr:colOff>22412</xdr:colOff>
      <xdr:row>14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C54095E-F3EF-4A7E-A0FD-F8CFA6056D7B}"/>
            </a:ext>
          </a:extLst>
        </xdr:cNvPr>
        <xdr:cNvSpPr txBox="1"/>
      </xdr:nvSpPr>
      <xdr:spPr>
        <a:xfrm>
          <a:off x="57150" y="1329578"/>
          <a:ext cx="8246409" cy="1348628"/>
        </a:xfrm>
        <a:prstGeom prst="rect">
          <a:avLst/>
        </a:prstGeom>
        <a:solidFill>
          <a:sysClr val="window" lastClr="FFFFFF"/>
        </a:solidFill>
        <a:ln w="25400" cmpd="sng"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i-FI" sz="900" b="1">
              <a:solidFill>
                <a:schemeClr val="tx1"/>
              </a:solidFill>
            </a:rPr>
            <a:t>Projektin tavoite (valmis ti 11.11): </a:t>
          </a:r>
          <a:endParaRPr lang="ru-RU" sz="900" b="1">
            <a:solidFill>
              <a:schemeClr val="tx1"/>
            </a:solidFill>
          </a:endParaRPr>
        </a:p>
        <a:p>
          <a:r>
            <a:rPr lang="ru-RU" sz="900" b="1">
              <a:solidFill>
                <a:schemeClr val="tx1"/>
              </a:solidFill>
            </a:rPr>
            <a:t>	</a:t>
          </a:r>
          <a:r>
            <a:rPr lang="fi-FI" sz="9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Projektin tavoitteena on kehittää tekoälypohjainen järjestelmä, joka tunnistaa ja analysoi alaraajan liikkeitä MoveSense-anturidatan avulla.</a:t>
          </a:r>
          <a:endParaRPr lang="en-FI" sz="900">
            <a:effectLst/>
          </a:endParaRPr>
        </a:p>
        <a:p>
          <a:r>
            <a:rPr lang="fi-FI" sz="9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Järjestelmä pystyy tunnistamaan liikkeen tyypin (kyykky, kävely, sivuttaisliike) ja arvioimaan sen biomekaanisen oikeellisuuden, kuten polven varus- ja 	valgus-poikkeamat.</a:t>
          </a:r>
          <a:endParaRPr lang="en-FI" sz="900">
            <a:effectLst/>
          </a:endParaRPr>
        </a:p>
        <a:p>
          <a:r>
            <a:rPr lang="fi-FI" sz="9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Pitkän aikavälin tavoitteena on tuottaa ratkaisu, jota voidaan hyödyntää urheilussa, kuntoutuksessa ja terveysteknologiassa liikeanalyysin ja nivelrikon 	riskin arvioinnin tukena.</a:t>
          </a:r>
          <a:endParaRPr lang="en-FI" sz="900">
            <a:effectLst/>
          </a:endParaRPr>
        </a:p>
        <a:p>
          <a:endParaRPr lang="fi-FI" sz="1200" b="1">
            <a:solidFill>
              <a:schemeClr val="tx1"/>
            </a:solidFill>
          </a:endParaRPr>
        </a:p>
      </xdr:txBody>
    </xdr:sp>
    <xdr:clientData/>
  </xdr:twoCellAnchor>
  <xdr:twoCellAnchor>
    <xdr:from>
      <xdr:col>17</xdr:col>
      <xdr:colOff>57151</xdr:colOff>
      <xdr:row>6</xdr:row>
      <xdr:rowOff>82550</xdr:rowOff>
    </xdr:from>
    <xdr:to>
      <xdr:col>24</xdr:col>
      <xdr:colOff>0</xdr:colOff>
      <xdr:row>14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F7C51FF-63AC-4A77-9256-049BF4D2AC50}"/>
            </a:ext>
          </a:extLst>
        </xdr:cNvPr>
        <xdr:cNvSpPr txBox="1"/>
      </xdr:nvSpPr>
      <xdr:spPr>
        <a:xfrm>
          <a:off x="20793076" y="1333500"/>
          <a:ext cx="8982074" cy="1362075"/>
        </a:xfrm>
        <a:prstGeom prst="rect">
          <a:avLst/>
        </a:prstGeom>
        <a:solidFill>
          <a:schemeClr val="lt1"/>
        </a:solidFill>
        <a:ln w="25400" cmpd="sng"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i-FI" sz="1200" b="1">
              <a:solidFill>
                <a:schemeClr val="tx1"/>
              </a:solidFill>
            </a:rPr>
            <a:t>Sprintissa</a:t>
          </a:r>
          <a:r>
            <a:rPr lang="fi-FI" sz="1200" b="1" baseline="0">
              <a:solidFill>
                <a:schemeClr val="tx1"/>
              </a:solidFill>
            </a:rPr>
            <a:t> saavutetut</a:t>
          </a:r>
          <a:r>
            <a:rPr lang="fi-FI" sz="1200" b="1">
              <a:solidFill>
                <a:schemeClr val="tx1"/>
              </a:solidFill>
            </a:rPr>
            <a:t> inkrementit (valmis ti</a:t>
          </a:r>
          <a:r>
            <a:rPr lang="fi-FI" sz="1200" b="1" baseline="0">
              <a:solidFill>
                <a:schemeClr val="tx1"/>
              </a:solidFill>
            </a:rPr>
            <a:t> 25</a:t>
          </a:r>
          <a:r>
            <a:rPr lang="fi-FI" sz="1200" b="1">
              <a:solidFill>
                <a:schemeClr val="tx1"/>
              </a:solidFill>
            </a:rPr>
            <a:t>.11): </a:t>
          </a:r>
        </a:p>
      </xdr:txBody>
    </xdr:sp>
    <xdr:clientData/>
  </xdr:twoCellAnchor>
  <xdr:twoCellAnchor>
    <xdr:from>
      <xdr:col>8</xdr:col>
      <xdr:colOff>57150</xdr:colOff>
      <xdr:row>6</xdr:row>
      <xdr:rowOff>82550</xdr:rowOff>
    </xdr:from>
    <xdr:to>
      <xdr:col>14</xdr:col>
      <xdr:colOff>724647</xdr:colOff>
      <xdr:row>13</xdr:row>
      <xdr:rowOff>177800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8E85DF8-E067-4CAD-B97F-64263716C7FA}"/>
            </a:ext>
          </a:extLst>
        </xdr:cNvPr>
        <xdr:cNvSpPr txBox="1"/>
      </xdr:nvSpPr>
      <xdr:spPr>
        <a:xfrm>
          <a:off x="9705975" y="1333500"/>
          <a:ext cx="8963772" cy="1362075"/>
        </a:xfrm>
        <a:prstGeom prst="rect">
          <a:avLst/>
        </a:prstGeom>
        <a:solidFill>
          <a:schemeClr val="lt1"/>
        </a:solidFill>
        <a:ln w="25400" cmpd="sng"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i-FI" sz="900" b="1">
              <a:solidFill>
                <a:schemeClr val="tx1"/>
              </a:solidFill>
            </a:rPr>
            <a:t>Sprintin tavoite </a:t>
          </a:r>
          <a:r>
            <a:rPr lang="fi-FI" sz="9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(valmis ti</a:t>
          </a:r>
          <a:r>
            <a:rPr lang="fi-FI" sz="9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11.11</a:t>
          </a:r>
          <a:r>
            <a:rPr lang="fi-FI" sz="9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fi-FI" sz="900" b="1">
              <a:solidFill>
                <a:schemeClr val="tx1"/>
              </a:solidFill>
            </a:rPr>
            <a:t>: </a:t>
          </a:r>
          <a:endParaRPr lang="ru-RU" sz="900" b="1">
            <a:solidFill>
              <a:schemeClr val="tx1"/>
            </a:solidFill>
          </a:endParaRPr>
        </a:p>
        <a:p>
          <a:r>
            <a:rPr lang="fi-FI" sz="900" b="0">
              <a:solidFill>
                <a:schemeClr val="tx1"/>
              </a:solidFill>
            </a:rPr>
            <a:t>	Sprintin</a:t>
          </a:r>
          <a:r>
            <a:rPr lang="fi-FI" sz="900" b="0" baseline="0">
              <a:solidFill>
                <a:schemeClr val="tx1"/>
              </a:solidFill>
            </a:rPr>
            <a:t> 2 tavoitteena on kehittää ensimmäinen toimiva prototyyppi, joka kerää, käsittelee ja visualisoi MoveSense-anturidataa.</a:t>
          </a:r>
          <a:br>
            <a:rPr lang="fi-FI" sz="900" b="0" baseline="0">
              <a:solidFill>
                <a:schemeClr val="tx1"/>
              </a:solidFill>
            </a:rPr>
          </a:br>
          <a:r>
            <a:rPr lang="fi-FI" sz="900" b="0" baseline="0">
              <a:solidFill>
                <a:schemeClr val="tx1"/>
              </a:solidFill>
            </a:rPr>
            <a:t>	Sprintissä keskitytään anturiyhteyden toteutukseen, datan suodatukseen ja kulmalaskentaan sekä tekoälypohjaiseen liikkeen tunnistukseen. Lisäksi valmistellaan käyttöliittymän (Figma) ensimmäinen versio ja mid-	review-esityksen demoversio.</a:t>
          </a:r>
          <a:br>
            <a:rPr lang="fi-FI" sz="900" b="0" baseline="0">
              <a:solidFill>
                <a:schemeClr val="tx1"/>
              </a:solidFill>
            </a:rPr>
          </a:br>
          <a:r>
            <a:rPr lang="fi-FI" sz="900" b="0" baseline="0">
              <a:solidFill>
                <a:schemeClr val="tx1"/>
              </a:solidFill>
            </a:rPr>
            <a:t>	Sprintin lopussa tiimillä on toimiva prototyyppi, joka tunnistaa perusliikkeet (kyykky, kävely, sivuttaisliike) ja esittää ne visuaalisesti käyttöliittymässä.</a:t>
          </a:r>
          <a:endParaRPr lang="fi-FI" sz="900" b="0">
            <a:solidFill>
              <a:schemeClr val="tx1"/>
            </a:solidFill>
          </a:endParaRPr>
        </a:p>
      </xdr:txBody>
    </xdr:sp>
    <xdr:clientData/>
  </xdr:twoCellAnchor>
  <xdr:twoCellAnchor>
    <xdr:from>
      <xdr:col>26</xdr:col>
      <xdr:colOff>57151</xdr:colOff>
      <xdr:row>6</xdr:row>
      <xdr:rowOff>82550</xdr:rowOff>
    </xdr:from>
    <xdr:to>
      <xdr:col>38</xdr:col>
      <xdr:colOff>25587</xdr:colOff>
      <xdr:row>27</xdr:row>
      <xdr:rowOff>156882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4203C6D-9145-4D4E-AE35-23BC5FAFB314}"/>
            </a:ext>
          </a:extLst>
        </xdr:cNvPr>
        <xdr:cNvSpPr txBox="1"/>
      </xdr:nvSpPr>
      <xdr:spPr>
        <a:xfrm>
          <a:off x="31784926" y="1333500"/>
          <a:ext cx="7286811" cy="4008157"/>
        </a:xfrm>
        <a:prstGeom prst="rect">
          <a:avLst/>
        </a:prstGeom>
        <a:solidFill>
          <a:schemeClr val="lt1"/>
        </a:solidFill>
        <a:ln w="25400" cmpd="sng"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i-FI" sz="1200" b="1">
              <a:solidFill>
                <a:schemeClr val="tx1"/>
              </a:solidFill>
            </a:rPr>
            <a:t>Sprintin retrospektiivipalaverin</a:t>
          </a:r>
          <a:r>
            <a:rPr lang="fi-FI" sz="1200" b="1" baseline="0">
              <a:solidFill>
                <a:schemeClr val="tx1"/>
              </a:solidFill>
            </a:rPr>
            <a:t> yhteenveto </a:t>
          </a:r>
          <a:r>
            <a:rPr lang="fi-FI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(valmis ti</a:t>
          </a:r>
          <a:r>
            <a:rPr lang="fi-FI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25</a:t>
          </a:r>
          <a:r>
            <a:rPr lang="fi-FI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.11):</a:t>
          </a:r>
          <a:endParaRPr lang="fi-FI" sz="1200" b="1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257735</xdr:colOff>
      <xdr:row>8</xdr:row>
      <xdr:rowOff>64060</xdr:rowOff>
    </xdr:from>
    <xdr:to>
      <xdr:col>7</xdr:col>
      <xdr:colOff>419474</xdr:colOff>
      <xdr:row>11</xdr:row>
      <xdr:rowOff>140820</xdr:rowOff>
    </xdr:to>
    <xdr:sp macro="" textlink="">
      <xdr:nvSpPr>
        <xdr:cNvPr id="9" name="Arrow: Right 8">
          <a:extLst>
            <a:ext uri="{FF2B5EF4-FFF2-40B4-BE49-F238E27FC236}">
              <a16:creationId xmlns:a16="http://schemas.microsoft.com/office/drawing/2014/main" id="{585CFFD4-306F-45F9-9901-1ED166F6BB78}"/>
            </a:ext>
          </a:extLst>
        </xdr:cNvPr>
        <xdr:cNvSpPr/>
      </xdr:nvSpPr>
      <xdr:spPr>
        <a:xfrm>
          <a:off x="8538882" y="1666501"/>
          <a:ext cx="901327" cy="614643"/>
        </a:xfrm>
        <a:prstGeom prst="rightArrow">
          <a:avLst/>
        </a:prstGeom>
        <a:solidFill>
          <a:schemeClr val="accent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i-FI" sz="1100"/>
        </a:p>
      </xdr:txBody>
    </xdr:sp>
    <xdr:clientData/>
  </xdr:twoCellAnchor>
  <xdr:twoCellAnchor>
    <xdr:from>
      <xdr:col>15</xdr:col>
      <xdr:colOff>925233</xdr:colOff>
      <xdr:row>8</xdr:row>
      <xdr:rowOff>56030</xdr:rowOff>
    </xdr:from>
    <xdr:to>
      <xdr:col>16</xdr:col>
      <xdr:colOff>382682</xdr:colOff>
      <xdr:row>11</xdr:row>
      <xdr:rowOff>123265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860A352E-1217-4B58-9769-11055B2E9411}"/>
            </a:ext>
          </a:extLst>
        </xdr:cNvPr>
        <xdr:cNvSpPr/>
      </xdr:nvSpPr>
      <xdr:spPr>
        <a:xfrm>
          <a:off x="19571821" y="1658471"/>
          <a:ext cx="891802" cy="605118"/>
        </a:xfrm>
        <a:prstGeom prst="rightArrow">
          <a:avLst/>
        </a:prstGeom>
        <a:solidFill>
          <a:schemeClr val="accent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i-FI" sz="1100"/>
        </a:p>
      </xdr:txBody>
    </xdr:sp>
    <xdr:clientData/>
  </xdr:twoCellAnchor>
  <xdr:twoCellAnchor>
    <xdr:from>
      <xdr:col>24</xdr:col>
      <xdr:colOff>893296</xdr:colOff>
      <xdr:row>8</xdr:row>
      <xdr:rowOff>64060</xdr:rowOff>
    </xdr:from>
    <xdr:to>
      <xdr:col>25</xdr:col>
      <xdr:colOff>446742</xdr:colOff>
      <xdr:row>11</xdr:row>
      <xdr:rowOff>140820</xdr:rowOff>
    </xdr:to>
    <xdr:sp macro="" textlink="">
      <xdr:nvSpPr>
        <xdr:cNvPr id="11" name="Arrow: Right 10">
          <a:extLst>
            <a:ext uri="{FF2B5EF4-FFF2-40B4-BE49-F238E27FC236}">
              <a16:creationId xmlns:a16="http://schemas.microsoft.com/office/drawing/2014/main" id="{9C347A75-9508-4138-B99F-A5CE1811DCCE}"/>
            </a:ext>
          </a:extLst>
        </xdr:cNvPr>
        <xdr:cNvSpPr/>
      </xdr:nvSpPr>
      <xdr:spPr>
        <a:xfrm>
          <a:off x="30600090" y="1666501"/>
          <a:ext cx="898152" cy="614643"/>
        </a:xfrm>
        <a:prstGeom prst="rightArrow">
          <a:avLst/>
        </a:prstGeom>
        <a:solidFill>
          <a:schemeClr val="accent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i-FI" sz="1100"/>
        </a:p>
      </xdr:txBody>
    </xdr:sp>
    <xdr:clientData/>
  </xdr:twoCellAnchor>
  <xdr:twoCellAnchor>
    <xdr:from>
      <xdr:col>0</xdr:col>
      <xdr:colOff>39584</xdr:colOff>
      <xdr:row>26</xdr:row>
      <xdr:rowOff>118893</xdr:rowOff>
    </xdr:from>
    <xdr:to>
      <xdr:col>7</xdr:col>
      <xdr:colOff>26344</xdr:colOff>
      <xdr:row>37</xdr:row>
      <xdr:rowOff>54499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5C2F28C5-C427-465C-8112-EBDCBF11C9D0}"/>
            </a:ext>
          </a:extLst>
        </xdr:cNvPr>
        <xdr:cNvSpPr/>
      </xdr:nvSpPr>
      <xdr:spPr>
        <a:xfrm>
          <a:off x="39584" y="5037257"/>
          <a:ext cx="9457331" cy="1895034"/>
        </a:xfrm>
        <a:prstGeom prst="rect">
          <a:avLst/>
        </a:prstGeom>
        <a:noFill/>
        <a:ln w="57150">
          <a:solidFill>
            <a:schemeClr val="accent1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6</xdr:row>
      <xdr:rowOff>85725</xdr:rowOff>
    </xdr:from>
    <xdr:to>
      <xdr:col>6</xdr:col>
      <xdr:colOff>11206</xdr:colOff>
      <xdr:row>14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31187DC-F131-4F83-93FB-5D98AA5528D1}"/>
            </a:ext>
          </a:extLst>
        </xdr:cNvPr>
        <xdr:cNvSpPr txBox="1"/>
      </xdr:nvSpPr>
      <xdr:spPr>
        <a:xfrm>
          <a:off x="57150" y="1329578"/>
          <a:ext cx="8235203" cy="1348628"/>
        </a:xfrm>
        <a:prstGeom prst="rect">
          <a:avLst/>
        </a:prstGeom>
        <a:solidFill>
          <a:sysClr val="window" lastClr="FFFFFF"/>
        </a:solidFill>
        <a:ln w="25400" cmpd="sng">
          <a:solidFill>
            <a:schemeClr val="accent2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i-FI" sz="900" b="1">
              <a:solidFill>
                <a:schemeClr val="tx1"/>
              </a:solidFill>
            </a:rPr>
            <a:t>Projektin tavoite (valmis ke 26.11): </a:t>
          </a:r>
          <a:endParaRPr lang="ru-RU" sz="900" b="1">
            <a:solidFill>
              <a:schemeClr val="tx1"/>
            </a:solidFill>
          </a:endParaRPr>
        </a:p>
        <a:p>
          <a:r>
            <a:rPr lang="ru-RU" sz="9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</a:t>
          </a:r>
          <a:r>
            <a:rPr lang="fi-FI" sz="9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Projektin tavoitteena on kehittää tekoälypohjainen järjestelmä, joka tunnistaa ja analysoi alaraajan liikkeitä MoveSense-anturidatan avulla.</a:t>
          </a:r>
          <a:endParaRPr lang="en-FI" sz="900">
            <a:effectLst/>
          </a:endParaRPr>
        </a:p>
        <a:p>
          <a:r>
            <a:rPr lang="fi-FI" sz="9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Järjestelmä pystyy tunnistamaan liikkeen tyypin (kyykky, kävely, sivuttaisliike) ja arvioimaan sen biomekaanisen oikeellisuuden, kuten polven varus- ja valgus-</a:t>
          </a:r>
          <a:r>
            <a:rPr lang="ru-RU" sz="9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</a:t>
          </a:r>
          <a:r>
            <a:rPr lang="fi-FI" sz="9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poikkeamat.</a:t>
          </a:r>
          <a:endParaRPr lang="en-FI" sz="900">
            <a:effectLst/>
          </a:endParaRPr>
        </a:p>
        <a:p>
          <a:r>
            <a:rPr lang="fi-FI" sz="9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Pitkän aikavälin tavoitteena on tuottaa ratkaisu, jota voidaan hyödyntää urheilussa, kuntoutuksessa ja terveysteknologiassa liikeanalyysin ja nivelrikon riskin </a:t>
          </a:r>
          <a:r>
            <a:rPr lang="ru-RU" sz="9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</a:t>
          </a:r>
          <a:r>
            <a:rPr lang="fi-FI" sz="9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arvioinnin tukena.</a:t>
          </a:r>
          <a:endParaRPr lang="en-FI" sz="900">
            <a:effectLst/>
          </a:endParaRPr>
        </a:p>
        <a:p>
          <a:endParaRPr lang="fi-FI" sz="1200" b="1">
            <a:solidFill>
              <a:schemeClr val="tx1"/>
            </a:solidFill>
          </a:endParaRPr>
        </a:p>
      </xdr:txBody>
    </xdr:sp>
    <xdr:clientData/>
  </xdr:twoCellAnchor>
  <xdr:twoCellAnchor>
    <xdr:from>
      <xdr:col>17</xdr:col>
      <xdr:colOff>57151</xdr:colOff>
      <xdr:row>6</xdr:row>
      <xdr:rowOff>82550</xdr:rowOff>
    </xdr:from>
    <xdr:to>
      <xdr:col>24</xdr:col>
      <xdr:colOff>0</xdr:colOff>
      <xdr:row>14</xdr:row>
      <xdr:rowOff>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5AD2FA8-8170-4D48-B1C8-EC7AABAD3E5B}"/>
            </a:ext>
          </a:extLst>
        </xdr:cNvPr>
        <xdr:cNvSpPr txBox="1"/>
      </xdr:nvSpPr>
      <xdr:spPr>
        <a:xfrm>
          <a:off x="20793076" y="1333500"/>
          <a:ext cx="8982074" cy="1362075"/>
        </a:xfrm>
        <a:prstGeom prst="rect">
          <a:avLst/>
        </a:prstGeom>
        <a:solidFill>
          <a:schemeClr val="lt1"/>
        </a:solidFill>
        <a:ln w="25400" cmpd="sng">
          <a:solidFill>
            <a:schemeClr val="accent2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i-FI" sz="1200" b="1">
              <a:solidFill>
                <a:schemeClr val="tx1"/>
              </a:solidFill>
            </a:rPr>
            <a:t>Sprintissa</a:t>
          </a:r>
          <a:r>
            <a:rPr lang="fi-FI" sz="1200" b="1" baseline="0">
              <a:solidFill>
                <a:schemeClr val="tx1"/>
              </a:solidFill>
            </a:rPr>
            <a:t> saavutetut</a:t>
          </a:r>
          <a:r>
            <a:rPr lang="fi-FI" sz="1200" b="1">
              <a:solidFill>
                <a:schemeClr val="tx1"/>
              </a:solidFill>
            </a:rPr>
            <a:t> inkrementit (valmis ke</a:t>
          </a:r>
          <a:r>
            <a:rPr lang="fi-FI" sz="1200" b="1" baseline="0">
              <a:solidFill>
                <a:schemeClr val="tx1"/>
              </a:solidFill>
            </a:rPr>
            <a:t> 10.12</a:t>
          </a:r>
          <a:r>
            <a:rPr lang="fi-FI" sz="1200" b="1">
              <a:solidFill>
                <a:schemeClr val="tx1"/>
              </a:solidFill>
            </a:rPr>
            <a:t>): </a:t>
          </a:r>
        </a:p>
      </xdr:txBody>
    </xdr:sp>
    <xdr:clientData/>
  </xdr:twoCellAnchor>
  <xdr:twoCellAnchor>
    <xdr:from>
      <xdr:col>8</xdr:col>
      <xdr:colOff>57150</xdr:colOff>
      <xdr:row>6</xdr:row>
      <xdr:rowOff>82550</xdr:rowOff>
    </xdr:from>
    <xdr:to>
      <xdr:col>14</xdr:col>
      <xdr:colOff>724647</xdr:colOff>
      <xdr:row>13</xdr:row>
      <xdr:rowOff>177800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D91669E-FD2F-4905-BA42-FFD4F4E75E75}"/>
            </a:ext>
          </a:extLst>
        </xdr:cNvPr>
        <xdr:cNvSpPr txBox="1"/>
      </xdr:nvSpPr>
      <xdr:spPr>
        <a:xfrm>
          <a:off x="9705975" y="1333500"/>
          <a:ext cx="8963772" cy="1362075"/>
        </a:xfrm>
        <a:prstGeom prst="rect">
          <a:avLst/>
        </a:prstGeom>
        <a:solidFill>
          <a:schemeClr val="lt1"/>
        </a:solidFill>
        <a:ln w="25400" cmpd="sng">
          <a:solidFill>
            <a:schemeClr val="accent2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i-FI" sz="900" b="1">
              <a:solidFill>
                <a:schemeClr val="tx1"/>
              </a:solidFill>
            </a:rPr>
            <a:t>Sprintin tavoite </a:t>
          </a:r>
          <a:r>
            <a:rPr lang="fi-FI" sz="9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(valmis ke 26.11)</a:t>
          </a:r>
          <a:r>
            <a:rPr lang="fi-FI" sz="900" b="1">
              <a:solidFill>
                <a:schemeClr val="tx1"/>
              </a:solidFill>
            </a:rPr>
            <a:t>: </a:t>
          </a:r>
        </a:p>
        <a:p>
          <a:r>
            <a:rPr lang="fi-FI" sz="900" b="0">
              <a:solidFill>
                <a:schemeClr val="tx1"/>
              </a:solidFill>
            </a:rPr>
            <a:t>	Sprintin 3 tavoitteena on testata ja validoida AI Motion Analyzer -järjestelmän</a:t>
          </a:r>
          <a:r>
            <a:rPr lang="fi-FI" sz="900" b="0" baseline="0">
              <a:solidFill>
                <a:schemeClr val="tx1"/>
              </a:solidFill>
            </a:rPr>
            <a:t> tarkkuus ja toimivuus todellisissa mittauksissa.</a:t>
          </a:r>
          <a:br>
            <a:rPr lang="fi-FI" sz="900" b="0" baseline="0">
              <a:solidFill>
                <a:schemeClr val="tx1"/>
              </a:solidFill>
            </a:rPr>
          </a:br>
          <a:r>
            <a:rPr lang="fi-FI" sz="900" b="0" baseline="0">
              <a:solidFill>
                <a:schemeClr val="tx1"/>
              </a:solidFill>
            </a:rPr>
            <a:t>	Sprintissä keskitytään kyykky- ja kävelytestien toteutukseen, tulosten analysointiin ja vertailuun kirjallisuuden arvoihin (virhemarginaali 1-3</a:t>
          </a:r>
          <a:r>
            <a:rPr lang="en-FI" sz="900" b="0"/>
            <a:t>°</a:t>
          </a:r>
          <a:r>
            <a:rPr lang="fi-FI" sz="900" b="0"/>
            <a:t>).</a:t>
          </a:r>
          <a:br>
            <a:rPr lang="fi-FI" sz="900" b="0"/>
          </a:br>
          <a:r>
            <a:rPr lang="fi-FI" sz="900" b="0"/>
            <a:t>	Lisäksi viimeistellään käyttöliittymä ja valmistellaan lopullinen raportti, posteri ja loppuesitys.</a:t>
          </a:r>
          <a:br>
            <a:rPr lang="fi-FI" sz="900" b="0"/>
          </a:br>
          <a:r>
            <a:rPr lang="fi-FI" sz="900" b="0"/>
            <a:t>	Sprintin lopussa tiimillä on validoitu järjestelmä, joka tunnistaa liikkeet ja tuottaa biomekaanisen analyysin, sekä täydellinen dokumentaatio</a:t>
          </a:r>
          <a:r>
            <a:rPr lang="fi-FI" sz="900" b="0" baseline="0"/>
            <a:t> ja esitysmateriaali projektin arviointia varten.</a:t>
          </a:r>
          <a:endParaRPr lang="fi-FI" sz="900" b="0">
            <a:solidFill>
              <a:schemeClr val="tx1"/>
            </a:solidFill>
          </a:endParaRPr>
        </a:p>
      </xdr:txBody>
    </xdr:sp>
    <xdr:clientData/>
  </xdr:twoCellAnchor>
  <xdr:twoCellAnchor>
    <xdr:from>
      <xdr:col>26</xdr:col>
      <xdr:colOff>57151</xdr:colOff>
      <xdr:row>6</xdr:row>
      <xdr:rowOff>82550</xdr:rowOff>
    </xdr:from>
    <xdr:to>
      <xdr:col>38</xdr:col>
      <xdr:colOff>25587</xdr:colOff>
      <xdr:row>27</xdr:row>
      <xdr:rowOff>156882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0FAE421-BFC3-48B0-ACAD-738FC858E3AD}"/>
            </a:ext>
          </a:extLst>
        </xdr:cNvPr>
        <xdr:cNvSpPr txBox="1"/>
      </xdr:nvSpPr>
      <xdr:spPr>
        <a:xfrm>
          <a:off x="31784926" y="1333500"/>
          <a:ext cx="7286811" cy="4008157"/>
        </a:xfrm>
        <a:prstGeom prst="rect">
          <a:avLst/>
        </a:prstGeom>
        <a:solidFill>
          <a:schemeClr val="lt1"/>
        </a:solidFill>
        <a:ln w="25400" cmpd="sng">
          <a:solidFill>
            <a:schemeClr val="accent2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i-FI" sz="1200" b="1">
              <a:solidFill>
                <a:schemeClr val="tx1"/>
              </a:solidFill>
            </a:rPr>
            <a:t>Sprintin retrospektiivipalaverin</a:t>
          </a:r>
          <a:r>
            <a:rPr lang="fi-FI" sz="1200" b="1" baseline="0">
              <a:solidFill>
                <a:schemeClr val="tx1"/>
              </a:solidFill>
            </a:rPr>
            <a:t> yhteenveto </a:t>
          </a:r>
          <a:r>
            <a:rPr lang="fi-FI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(valmis ke 10.12):</a:t>
          </a:r>
          <a:endParaRPr lang="fi-FI" sz="1200" b="1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249704</xdr:colOff>
      <xdr:row>8</xdr:row>
      <xdr:rowOff>52855</xdr:rowOff>
    </xdr:from>
    <xdr:to>
      <xdr:col>7</xdr:col>
      <xdr:colOff>411443</xdr:colOff>
      <xdr:row>11</xdr:row>
      <xdr:rowOff>129615</xdr:rowOff>
    </xdr:to>
    <xdr:sp macro="" textlink="">
      <xdr:nvSpPr>
        <xdr:cNvPr id="9" name="Arrow: Right 8">
          <a:extLst>
            <a:ext uri="{FF2B5EF4-FFF2-40B4-BE49-F238E27FC236}">
              <a16:creationId xmlns:a16="http://schemas.microsoft.com/office/drawing/2014/main" id="{6A504305-C23C-3016-6183-90AEC6880AF9}"/>
            </a:ext>
          </a:extLst>
        </xdr:cNvPr>
        <xdr:cNvSpPr/>
      </xdr:nvSpPr>
      <xdr:spPr>
        <a:xfrm>
          <a:off x="8530851" y="1655296"/>
          <a:ext cx="901327" cy="614643"/>
        </a:xfrm>
        <a:prstGeom prst="rightArrow">
          <a:avLst/>
        </a:prstGeom>
        <a:solidFill>
          <a:schemeClr val="accent2"/>
        </a:solidFill>
        <a:ln>
          <a:solidFill>
            <a:schemeClr val="accent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i-FI" sz="1100"/>
        </a:p>
      </xdr:txBody>
    </xdr:sp>
    <xdr:clientData/>
  </xdr:twoCellAnchor>
  <xdr:twoCellAnchor>
    <xdr:from>
      <xdr:col>15</xdr:col>
      <xdr:colOff>917202</xdr:colOff>
      <xdr:row>8</xdr:row>
      <xdr:rowOff>41650</xdr:rowOff>
    </xdr:from>
    <xdr:to>
      <xdr:col>16</xdr:col>
      <xdr:colOff>377826</xdr:colOff>
      <xdr:row>11</xdr:row>
      <xdr:rowOff>115235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91972829-6854-49EB-A588-0B7312F0EFD1}"/>
            </a:ext>
          </a:extLst>
        </xdr:cNvPr>
        <xdr:cNvSpPr/>
      </xdr:nvSpPr>
      <xdr:spPr>
        <a:xfrm>
          <a:off x="19563790" y="1644091"/>
          <a:ext cx="894977" cy="611468"/>
        </a:xfrm>
        <a:prstGeom prst="rightArrow">
          <a:avLst/>
        </a:prstGeom>
        <a:solidFill>
          <a:schemeClr val="accent2"/>
        </a:solidFill>
        <a:ln>
          <a:solidFill>
            <a:schemeClr val="accent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i-FI" sz="1100"/>
        </a:p>
      </xdr:txBody>
    </xdr:sp>
    <xdr:clientData/>
  </xdr:twoCellAnchor>
  <xdr:twoCellAnchor>
    <xdr:from>
      <xdr:col>24</xdr:col>
      <xdr:colOff>885265</xdr:colOff>
      <xdr:row>8</xdr:row>
      <xdr:rowOff>56030</xdr:rowOff>
    </xdr:from>
    <xdr:to>
      <xdr:col>25</xdr:col>
      <xdr:colOff>438711</xdr:colOff>
      <xdr:row>11</xdr:row>
      <xdr:rowOff>132790</xdr:rowOff>
    </xdr:to>
    <xdr:sp macro="" textlink="">
      <xdr:nvSpPr>
        <xdr:cNvPr id="11" name="Arrow: Right 10">
          <a:extLst>
            <a:ext uri="{FF2B5EF4-FFF2-40B4-BE49-F238E27FC236}">
              <a16:creationId xmlns:a16="http://schemas.microsoft.com/office/drawing/2014/main" id="{80607A6F-417C-4B2A-94ED-17FBB9018E37}"/>
            </a:ext>
          </a:extLst>
        </xdr:cNvPr>
        <xdr:cNvSpPr/>
      </xdr:nvSpPr>
      <xdr:spPr>
        <a:xfrm>
          <a:off x="30592059" y="1658471"/>
          <a:ext cx="898152" cy="614643"/>
        </a:xfrm>
        <a:prstGeom prst="rightArrow">
          <a:avLst/>
        </a:prstGeom>
        <a:solidFill>
          <a:schemeClr val="accent2"/>
        </a:solidFill>
        <a:ln>
          <a:solidFill>
            <a:schemeClr val="accent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i-FI" sz="1100"/>
        </a:p>
      </xdr:txBody>
    </xdr:sp>
    <xdr:clientData/>
  </xdr:twoCellAnchor>
  <xdr:twoCellAnchor>
    <xdr:from>
      <xdr:col>0</xdr:col>
      <xdr:colOff>0</xdr:colOff>
      <xdr:row>36</xdr:row>
      <xdr:rowOff>128789</xdr:rowOff>
    </xdr:from>
    <xdr:to>
      <xdr:col>6</xdr:col>
      <xdr:colOff>719071</xdr:colOff>
      <xdr:row>47</xdr:row>
      <xdr:rowOff>64394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78E45BB-56C7-BEBE-9D36-99656D59BB58}"/>
            </a:ext>
          </a:extLst>
        </xdr:cNvPr>
        <xdr:cNvSpPr/>
      </xdr:nvSpPr>
      <xdr:spPr>
        <a:xfrm>
          <a:off x="0" y="6965324"/>
          <a:ext cx="9626958" cy="1942563"/>
        </a:xfrm>
        <a:prstGeom prst="rect">
          <a:avLst/>
        </a:prstGeom>
        <a:noFill/>
        <a:ln w="57150">
          <a:solidFill>
            <a:schemeClr val="accent2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1502C-EC24-4D31-9E3E-0A6AC32B51A9}">
  <dimension ref="A1:AL61"/>
  <sheetViews>
    <sheetView tabSelected="1" topLeftCell="B1" zoomScale="72" zoomScaleNormal="66" workbookViewId="0">
      <selection activeCell="J32" sqref="J32"/>
    </sheetView>
  </sheetViews>
  <sheetFormatPr defaultRowHeight="14.4" x14ac:dyDescent="0.3"/>
  <cols>
    <col min="1" max="1" width="5.6640625" customWidth="1"/>
    <col min="2" max="2" width="60.6640625" customWidth="1"/>
    <col min="3" max="3" width="25.88671875" customWidth="1"/>
    <col min="4" max="5" width="10.6640625" customWidth="1"/>
    <col min="6" max="6" width="20.6640625" customWidth="1"/>
    <col min="7" max="7" width="10.6640625" customWidth="1"/>
    <col min="9" max="9" width="5.6640625" customWidth="1"/>
    <col min="10" max="10" width="48.77734375" customWidth="1"/>
    <col min="11" max="11" width="51.88671875" customWidth="1"/>
    <col min="12" max="12" width="24" customWidth="1"/>
    <col min="13" max="13" width="10.6640625" customWidth="1"/>
    <col min="14" max="14" width="18.77734375" customWidth="1"/>
    <col min="15" max="15" width="17.88671875" customWidth="1"/>
    <col min="16" max="16" width="13.33203125" customWidth="1"/>
    <col min="18" max="18" width="5.6640625" customWidth="1"/>
    <col min="19" max="20" width="40.6640625" customWidth="1"/>
    <col min="21" max="24" width="10.6640625" customWidth="1"/>
    <col min="25" max="25" width="19.21875" bestFit="1" customWidth="1"/>
  </cols>
  <sheetData>
    <row r="1" spans="1:38" x14ac:dyDescent="0.3">
      <c r="A1" s="7" t="s">
        <v>3</v>
      </c>
    </row>
    <row r="2" spans="1:38" ht="15" thickBot="1" x14ac:dyDescent="0.35">
      <c r="A2" s="7"/>
    </row>
    <row r="3" spans="1:38" ht="21.6" thickBot="1" x14ac:dyDescent="0.45">
      <c r="A3" s="23" t="s">
        <v>77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5"/>
    </row>
    <row r="4" spans="1:38" x14ac:dyDescent="0.3">
      <c r="A4" s="9"/>
      <c r="I4" s="10"/>
      <c r="J4" s="14"/>
      <c r="K4" s="15"/>
      <c r="L4" s="15"/>
      <c r="M4" s="15"/>
      <c r="N4" s="15"/>
      <c r="O4" s="15"/>
      <c r="P4" s="15"/>
    </row>
    <row r="5" spans="1:38" ht="18" x14ac:dyDescent="0.35">
      <c r="A5" s="2" t="s">
        <v>0</v>
      </c>
      <c r="D5" s="8"/>
      <c r="I5" s="11" t="s">
        <v>12</v>
      </c>
      <c r="J5" s="15"/>
      <c r="K5" s="15"/>
      <c r="L5" s="15"/>
      <c r="M5" s="16"/>
      <c r="N5" s="15"/>
      <c r="O5" s="15"/>
      <c r="P5" s="15"/>
      <c r="R5" s="11" t="s">
        <v>7</v>
      </c>
      <c r="V5" s="8"/>
      <c r="AA5" s="11" t="s">
        <v>76</v>
      </c>
      <c r="AE5" s="8"/>
    </row>
    <row r="6" spans="1:38" x14ac:dyDescent="0.3">
      <c r="A6" t="s">
        <v>185</v>
      </c>
      <c r="I6" t="s">
        <v>184</v>
      </c>
      <c r="J6" s="15"/>
      <c r="K6" s="15"/>
      <c r="L6" s="15"/>
      <c r="M6" s="15"/>
      <c r="N6" s="15"/>
      <c r="O6" s="15"/>
      <c r="P6" s="15"/>
      <c r="R6" t="s">
        <v>8</v>
      </c>
      <c r="AA6" t="s">
        <v>8</v>
      </c>
    </row>
    <row r="7" spans="1:38" x14ac:dyDescent="0.3">
      <c r="I7" s="15"/>
      <c r="J7" s="15"/>
      <c r="K7" s="15"/>
      <c r="L7" s="15"/>
      <c r="M7" s="15"/>
      <c r="N7" s="15"/>
      <c r="O7" s="15"/>
      <c r="P7" s="15"/>
    </row>
    <row r="8" spans="1:38" x14ac:dyDescent="0.3">
      <c r="I8" s="15"/>
      <c r="J8" s="15"/>
      <c r="K8" s="15"/>
      <c r="L8" s="15"/>
      <c r="M8" s="15"/>
      <c r="N8" s="15"/>
      <c r="O8" s="15"/>
      <c r="P8" s="15"/>
    </row>
    <row r="9" spans="1:38" x14ac:dyDescent="0.3">
      <c r="I9" s="15"/>
      <c r="J9" s="15"/>
      <c r="K9" s="15"/>
      <c r="L9" s="15"/>
      <c r="M9" s="15"/>
      <c r="N9" s="15"/>
      <c r="O9" s="15"/>
      <c r="P9" s="15"/>
    </row>
    <row r="10" spans="1:38" x14ac:dyDescent="0.3">
      <c r="I10" s="15"/>
      <c r="J10" s="15"/>
      <c r="K10" s="15"/>
      <c r="L10" s="15"/>
      <c r="M10" s="15"/>
      <c r="N10" s="15"/>
      <c r="O10" s="15"/>
      <c r="P10" s="15"/>
    </row>
    <row r="11" spans="1:38" x14ac:dyDescent="0.3">
      <c r="I11" s="15"/>
      <c r="J11" s="15"/>
      <c r="K11" s="15"/>
      <c r="L11" s="15"/>
      <c r="M11" s="15"/>
      <c r="N11" s="15"/>
      <c r="O11" s="15"/>
      <c r="P11" s="15"/>
    </row>
    <row r="12" spans="1:38" x14ac:dyDescent="0.3">
      <c r="I12" s="15"/>
      <c r="J12" s="15"/>
      <c r="K12" s="15"/>
      <c r="L12" s="15"/>
      <c r="M12" s="15"/>
      <c r="N12" s="15"/>
      <c r="O12" s="15"/>
      <c r="P12" s="15"/>
    </row>
    <row r="13" spans="1:38" x14ac:dyDescent="0.3">
      <c r="I13" s="15"/>
      <c r="J13" s="15"/>
      <c r="K13" s="15"/>
      <c r="L13" s="15"/>
      <c r="M13" s="15"/>
      <c r="N13" s="15"/>
      <c r="O13" s="15"/>
      <c r="P13" s="15"/>
    </row>
    <row r="14" spans="1:38" x14ac:dyDescent="0.3">
      <c r="I14" s="15"/>
      <c r="J14" s="15"/>
      <c r="K14" s="15"/>
      <c r="L14" s="15"/>
      <c r="M14" s="15"/>
      <c r="N14" s="15"/>
      <c r="O14" s="15"/>
      <c r="P14" s="15"/>
    </row>
    <row r="15" spans="1:38" x14ac:dyDescent="0.3">
      <c r="I15" s="15"/>
      <c r="J15" s="15"/>
      <c r="K15" s="15"/>
      <c r="L15" s="15"/>
      <c r="M15" s="15"/>
      <c r="N15" s="15"/>
      <c r="O15" s="15"/>
      <c r="P15" s="15"/>
    </row>
    <row r="16" spans="1:38" x14ac:dyDescent="0.3">
      <c r="I16" s="15"/>
      <c r="J16" s="15"/>
      <c r="K16" s="15"/>
      <c r="L16" s="15"/>
      <c r="M16" s="15"/>
      <c r="N16" s="15"/>
      <c r="O16" s="15"/>
      <c r="P16" s="15"/>
      <c r="R16" s="12"/>
    </row>
    <row r="17" spans="1:26" s="52" customFormat="1" ht="24.45" customHeight="1" x14ac:dyDescent="0.3">
      <c r="A17" s="50" t="s">
        <v>17</v>
      </c>
      <c r="B17" s="50" t="s">
        <v>4</v>
      </c>
      <c r="C17" s="50" t="s">
        <v>5</v>
      </c>
      <c r="D17" s="50" t="s">
        <v>1</v>
      </c>
      <c r="E17" s="50" t="s">
        <v>32</v>
      </c>
      <c r="F17" s="50" t="s">
        <v>13</v>
      </c>
      <c r="G17" s="50" t="s">
        <v>2</v>
      </c>
      <c r="I17" s="53" t="s">
        <v>17</v>
      </c>
      <c r="J17" s="50" t="s">
        <v>14</v>
      </c>
      <c r="K17" s="50" t="s">
        <v>15</v>
      </c>
      <c r="L17" s="50" t="s">
        <v>5</v>
      </c>
      <c r="M17" s="50" t="s">
        <v>1</v>
      </c>
      <c r="N17" s="50" t="s">
        <v>6</v>
      </c>
      <c r="O17" s="50" t="s">
        <v>45</v>
      </c>
      <c r="P17" s="50" t="s">
        <v>13</v>
      </c>
      <c r="Q17" s="37"/>
      <c r="R17" s="53" t="s">
        <v>17</v>
      </c>
      <c r="S17" s="51" t="s">
        <v>9</v>
      </c>
      <c r="T17" s="51" t="s">
        <v>10</v>
      </c>
      <c r="U17" s="51" t="s">
        <v>5</v>
      </c>
      <c r="V17" s="51" t="s">
        <v>1</v>
      </c>
      <c r="W17" s="51" t="s">
        <v>6</v>
      </c>
      <c r="X17" s="51" t="s">
        <v>45</v>
      </c>
      <c r="Y17" s="51" t="s">
        <v>16</v>
      </c>
      <c r="Z17" s="37"/>
    </row>
    <row r="18" spans="1:26" s="1" customFormat="1" x14ac:dyDescent="0.3">
      <c r="A18" s="6" t="s">
        <v>35</v>
      </c>
      <c r="B18" s="18" t="s">
        <v>83</v>
      </c>
      <c r="C18" s="18" t="s">
        <v>95</v>
      </c>
      <c r="D18" s="77">
        <v>1</v>
      </c>
      <c r="E18" s="77">
        <v>1</v>
      </c>
      <c r="F18" s="77">
        <v>4</v>
      </c>
      <c r="G18" s="77" t="s">
        <v>189</v>
      </c>
      <c r="I18" s="6" t="s">
        <v>46</v>
      </c>
      <c r="J18" s="17" t="s">
        <v>107</v>
      </c>
      <c r="K18" s="17" t="s">
        <v>108</v>
      </c>
      <c r="L18" s="17" t="s">
        <v>95</v>
      </c>
      <c r="M18" s="19">
        <v>1</v>
      </c>
      <c r="N18" s="19" t="s">
        <v>127</v>
      </c>
      <c r="O18" s="19" t="s">
        <v>132</v>
      </c>
      <c r="P18" s="19">
        <v>4</v>
      </c>
      <c r="Q18"/>
      <c r="R18" s="3" t="s">
        <v>46</v>
      </c>
      <c r="S18" s="13"/>
      <c r="T18" s="13"/>
      <c r="U18" s="5"/>
      <c r="V18" s="3"/>
      <c r="W18" s="3"/>
      <c r="X18" s="3"/>
      <c r="Y18" s="44">
        <f>'Työaika ryhmä'!I21</f>
        <v>1</v>
      </c>
      <c r="Z18"/>
    </row>
    <row r="19" spans="1:26" s="1" customFormat="1" x14ac:dyDescent="0.3">
      <c r="A19" s="6" t="s">
        <v>36</v>
      </c>
      <c r="B19" s="18" t="s">
        <v>84</v>
      </c>
      <c r="C19" s="18" t="s">
        <v>95</v>
      </c>
      <c r="D19" s="77">
        <v>1</v>
      </c>
      <c r="E19" s="77">
        <v>1</v>
      </c>
      <c r="F19" s="77">
        <v>6</v>
      </c>
      <c r="G19" s="77" t="s">
        <v>189</v>
      </c>
      <c r="I19" s="6" t="s">
        <v>47</v>
      </c>
      <c r="J19" s="17" t="s">
        <v>84</v>
      </c>
      <c r="K19" s="17" t="s">
        <v>109</v>
      </c>
      <c r="L19" s="17" t="s">
        <v>95</v>
      </c>
      <c r="M19" s="19">
        <v>1</v>
      </c>
      <c r="N19" s="19" t="s">
        <v>128</v>
      </c>
      <c r="O19" s="19" t="s">
        <v>133</v>
      </c>
      <c r="P19" s="19">
        <v>6</v>
      </c>
      <c r="Q19"/>
      <c r="R19" s="3" t="s">
        <v>47</v>
      </c>
      <c r="S19" s="13"/>
      <c r="T19" s="13"/>
      <c r="U19" s="5"/>
      <c r="V19" s="3"/>
      <c r="W19" s="3"/>
      <c r="X19" s="3"/>
      <c r="Y19" s="44">
        <f>'Työaika ryhmä'!J21</f>
        <v>1</v>
      </c>
      <c r="Z19"/>
    </row>
    <row r="20" spans="1:26" s="1" customFormat="1" x14ac:dyDescent="0.3">
      <c r="A20" s="6" t="s">
        <v>37</v>
      </c>
      <c r="B20" s="18" t="s">
        <v>110</v>
      </c>
      <c r="C20" s="18" t="s">
        <v>96</v>
      </c>
      <c r="D20" s="77">
        <v>1</v>
      </c>
      <c r="E20" s="77">
        <v>1</v>
      </c>
      <c r="F20" s="77">
        <v>4</v>
      </c>
      <c r="G20" s="77" t="s">
        <v>189</v>
      </c>
      <c r="I20" s="6" t="s">
        <v>48</v>
      </c>
      <c r="J20" s="17" t="s">
        <v>110</v>
      </c>
      <c r="K20" s="17" t="s">
        <v>111</v>
      </c>
      <c r="L20" s="17" t="s">
        <v>96</v>
      </c>
      <c r="M20" s="19">
        <v>1</v>
      </c>
      <c r="N20" s="19" t="s">
        <v>128</v>
      </c>
      <c r="O20" s="19" t="s">
        <v>132</v>
      </c>
      <c r="P20" s="19">
        <v>4</v>
      </c>
      <c r="Q20"/>
      <c r="R20" s="3" t="s">
        <v>48</v>
      </c>
      <c r="S20" s="13"/>
      <c r="T20" s="13"/>
      <c r="U20" s="5"/>
      <c r="V20" s="3"/>
      <c r="W20" s="3"/>
      <c r="X20" s="3"/>
      <c r="Y20" s="44">
        <f>'Työaika ryhmä'!K21</f>
        <v>1</v>
      </c>
      <c r="Z20"/>
    </row>
    <row r="21" spans="1:26" s="1" customFormat="1" x14ac:dyDescent="0.3">
      <c r="A21" s="6" t="s">
        <v>38</v>
      </c>
      <c r="B21" s="18" t="s">
        <v>112</v>
      </c>
      <c r="C21" s="18" t="s">
        <v>96</v>
      </c>
      <c r="D21" s="77">
        <v>1</v>
      </c>
      <c r="E21" s="77">
        <v>1</v>
      </c>
      <c r="F21" s="77">
        <v>10</v>
      </c>
      <c r="G21" s="77" t="s">
        <v>190</v>
      </c>
      <c r="I21" s="6" t="s">
        <v>49</v>
      </c>
      <c r="J21" s="17" t="s">
        <v>112</v>
      </c>
      <c r="K21" s="17" t="s">
        <v>113</v>
      </c>
      <c r="L21" s="17" t="s">
        <v>96</v>
      </c>
      <c r="M21" s="19">
        <v>1</v>
      </c>
      <c r="N21" s="19" t="s">
        <v>128</v>
      </c>
      <c r="O21" s="19" t="s">
        <v>134</v>
      </c>
      <c r="P21" s="19">
        <v>10</v>
      </c>
      <c r="Q21"/>
      <c r="R21" s="3" t="s">
        <v>49</v>
      </c>
      <c r="S21" s="13"/>
      <c r="T21" s="13"/>
      <c r="U21" s="5"/>
      <c r="V21" s="3"/>
      <c r="W21" s="3"/>
      <c r="X21" s="3"/>
      <c r="Y21" s="44">
        <f>'Työaika ryhmä'!L21</f>
        <v>2</v>
      </c>
      <c r="Z21"/>
    </row>
    <row r="22" spans="1:26" s="1" customFormat="1" x14ac:dyDescent="0.3">
      <c r="A22" s="6" t="s">
        <v>39</v>
      </c>
      <c r="B22" s="18" t="s">
        <v>114</v>
      </c>
      <c r="C22" s="18" t="s">
        <v>125</v>
      </c>
      <c r="D22" s="77">
        <v>1</v>
      </c>
      <c r="E22" s="77">
        <v>1</v>
      </c>
      <c r="F22" s="77">
        <v>6</v>
      </c>
      <c r="G22" s="77" t="s">
        <v>202</v>
      </c>
      <c r="I22" s="6" t="s">
        <v>50</v>
      </c>
      <c r="J22" s="17" t="s">
        <v>114</v>
      </c>
      <c r="K22" s="17" t="s">
        <v>115</v>
      </c>
      <c r="L22" s="17" t="s">
        <v>125</v>
      </c>
      <c r="M22" s="19">
        <v>1</v>
      </c>
      <c r="N22" s="19" t="s">
        <v>128</v>
      </c>
      <c r="O22" s="19" t="s">
        <v>132</v>
      </c>
      <c r="P22" s="19">
        <v>6</v>
      </c>
      <c r="Q22"/>
      <c r="R22" s="3" t="s">
        <v>50</v>
      </c>
      <c r="S22" s="13"/>
      <c r="T22" s="13"/>
      <c r="U22" s="5"/>
      <c r="V22" s="3"/>
      <c r="W22" s="3"/>
      <c r="X22" s="3"/>
      <c r="Y22" s="44">
        <f>'Työaika ryhmä'!M21</f>
        <v>0</v>
      </c>
      <c r="Z22"/>
    </row>
    <row r="23" spans="1:26" s="1" customFormat="1" x14ac:dyDescent="0.3">
      <c r="A23" s="6" t="s">
        <v>40</v>
      </c>
      <c r="B23" s="18" t="s">
        <v>116</v>
      </c>
      <c r="C23" s="18" t="s">
        <v>97</v>
      </c>
      <c r="D23" s="77">
        <v>1</v>
      </c>
      <c r="E23" s="77">
        <v>1</v>
      </c>
      <c r="F23" s="77">
        <v>6</v>
      </c>
      <c r="G23" s="77" t="s">
        <v>202</v>
      </c>
      <c r="I23" s="6" t="s">
        <v>51</v>
      </c>
      <c r="J23" s="17" t="s">
        <v>116</v>
      </c>
      <c r="K23" s="17" t="s">
        <v>117</v>
      </c>
      <c r="L23" s="17" t="s">
        <v>97</v>
      </c>
      <c r="M23" s="19">
        <v>1</v>
      </c>
      <c r="N23" s="19" t="s">
        <v>129</v>
      </c>
      <c r="O23" s="19" t="s">
        <v>127</v>
      </c>
      <c r="P23" s="19">
        <v>6</v>
      </c>
      <c r="Q23"/>
      <c r="R23" s="3" t="s">
        <v>51</v>
      </c>
      <c r="S23" s="13"/>
      <c r="T23" s="13"/>
      <c r="U23" s="5"/>
      <c r="V23" s="3"/>
      <c r="W23" s="3"/>
      <c r="X23" s="3"/>
      <c r="Y23" s="44">
        <f>'Työaika ryhmä'!N21</f>
        <v>0</v>
      </c>
      <c r="Z23"/>
    </row>
    <row r="24" spans="1:26" x14ac:dyDescent="0.3">
      <c r="A24" s="6" t="s">
        <v>41</v>
      </c>
      <c r="B24" s="78" t="s">
        <v>118</v>
      </c>
      <c r="C24" s="78" t="s">
        <v>97</v>
      </c>
      <c r="D24" s="77">
        <v>2</v>
      </c>
      <c r="E24" s="77">
        <v>1</v>
      </c>
      <c r="F24" s="77">
        <v>6</v>
      </c>
      <c r="G24" s="77" t="s">
        <v>202</v>
      </c>
      <c r="I24" s="6" t="s">
        <v>52</v>
      </c>
      <c r="J24" s="17" t="s">
        <v>118</v>
      </c>
      <c r="K24" s="17" t="s">
        <v>119</v>
      </c>
      <c r="L24" s="20" t="s">
        <v>97</v>
      </c>
      <c r="M24" s="19">
        <v>2</v>
      </c>
      <c r="N24" s="19" t="s">
        <v>129</v>
      </c>
      <c r="O24" s="19" t="s">
        <v>135</v>
      </c>
      <c r="P24" s="19">
        <v>6</v>
      </c>
      <c r="R24" s="3" t="s">
        <v>52</v>
      </c>
      <c r="S24" s="13"/>
      <c r="T24" s="13"/>
      <c r="U24" s="4"/>
      <c r="V24" s="3"/>
      <c r="W24" s="3"/>
      <c r="X24" s="3"/>
      <c r="Y24" s="44">
        <f>'Työaika ryhmä'!O21</f>
        <v>0</v>
      </c>
    </row>
    <row r="25" spans="1:26" x14ac:dyDescent="0.3">
      <c r="A25" s="6" t="s">
        <v>42</v>
      </c>
      <c r="B25" s="78" t="s">
        <v>85</v>
      </c>
      <c r="C25" s="78" t="s">
        <v>98</v>
      </c>
      <c r="D25" s="77">
        <v>2</v>
      </c>
      <c r="E25" s="77">
        <v>1</v>
      </c>
      <c r="F25" s="77">
        <v>4</v>
      </c>
      <c r="G25" s="77" t="s">
        <v>202</v>
      </c>
      <c r="I25" s="6" t="s">
        <v>53</v>
      </c>
      <c r="J25" s="17" t="s">
        <v>85</v>
      </c>
      <c r="K25" s="17" t="s">
        <v>120</v>
      </c>
      <c r="L25" s="20" t="s">
        <v>98</v>
      </c>
      <c r="M25" s="19">
        <v>2</v>
      </c>
      <c r="N25" s="19" t="s">
        <v>130</v>
      </c>
      <c r="O25" s="19" t="s">
        <v>132</v>
      </c>
      <c r="P25" s="19">
        <v>4</v>
      </c>
      <c r="R25" s="3" t="s">
        <v>53</v>
      </c>
      <c r="S25" s="13"/>
      <c r="T25" s="13"/>
      <c r="U25" s="4"/>
      <c r="V25" s="3"/>
      <c r="W25" s="3"/>
      <c r="X25" s="3"/>
      <c r="Y25" s="44">
        <f>'Työaika ryhmä'!P21</f>
        <v>0</v>
      </c>
    </row>
    <row r="26" spans="1:26" x14ac:dyDescent="0.3">
      <c r="A26" s="6" t="s">
        <v>43</v>
      </c>
      <c r="B26" s="78" t="s">
        <v>121</v>
      </c>
      <c r="C26" s="78" t="s">
        <v>99</v>
      </c>
      <c r="D26" s="77">
        <v>1</v>
      </c>
      <c r="E26" s="77">
        <v>1</v>
      </c>
      <c r="F26" s="77">
        <v>2</v>
      </c>
      <c r="G26" s="77" t="s">
        <v>202</v>
      </c>
      <c r="I26" s="6" t="s">
        <v>54</v>
      </c>
      <c r="J26" s="17" t="s">
        <v>121</v>
      </c>
      <c r="K26" s="17" t="s">
        <v>122</v>
      </c>
      <c r="L26" s="20" t="s">
        <v>99</v>
      </c>
      <c r="M26" s="19">
        <v>1</v>
      </c>
      <c r="N26" s="19" t="s">
        <v>127</v>
      </c>
      <c r="O26" s="19" t="s">
        <v>132</v>
      </c>
      <c r="P26" s="19">
        <v>2</v>
      </c>
      <c r="R26" s="3" t="s">
        <v>54</v>
      </c>
      <c r="S26" s="13"/>
      <c r="T26" s="13"/>
      <c r="U26" s="4"/>
      <c r="V26" s="3"/>
      <c r="W26" s="3"/>
      <c r="X26" s="3"/>
      <c r="Y26" s="44">
        <f>'Työaika ryhmä'!Q21</f>
        <v>0</v>
      </c>
    </row>
    <row r="27" spans="1:26" x14ac:dyDescent="0.3">
      <c r="A27" s="6" t="s">
        <v>44</v>
      </c>
      <c r="B27" s="78" t="s">
        <v>123</v>
      </c>
      <c r="C27" s="78" t="s">
        <v>126</v>
      </c>
      <c r="D27" s="77">
        <v>2</v>
      </c>
      <c r="E27" s="77">
        <v>1</v>
      </c>
      <c r="F27" s="77">
        <v>4</v>
      </c>
      <c r="G27" s="77" t="s">
        <v>202</v>
      </c>
      <c r="I27" s="6" t="s">
        <v>55</v>
      </c>
      <c r="J27" s="17" t="s">
        <v>123</v>
      </c>
      <c r="K27" s="17" t="s">
        <v>124</v>
      </c>
      <c r="L27" s="20" t="s">
        <v>126</v>
      </c>
      <c r="M27" s="19">
        <v>2</v>
      </c>
      <c r="N27" s="19" t="s">
        <v>131</v>
      </c>
      <c r="O27" s="19" t="s">
        <v>132</v>
      </c>
      <c r="P27" s="19">
        <v>4</v>
      </c>
      <c r="R27" s="3" t="s">
        <v>55</v>
      </c>
      <c r="S27" s="13"/>
      <c r="T27" s="13"/>
      <c r="U27" s="4"/>
      <c r="V27" s="3"/>
      <c r="W27" s="3"/>
      <c r="X27" s="3"/>
      <c r="Y27" s="44">
        <f>'Työaika ryhmä'!R21</f>
        <v>0</v>
      </c>
    </row>
    <row r="28" spans="1:26" x14ac:dyDescent="0.3">
      <c r="A28" s="6" t="s">
        <v>86</v>
      </c>
      <c r="B28" s="17" t="s">
        <v>136</v>
      </c>
      <c r="C28" s="17" t="s">
        <v>100</v>
      </c>
      <c r="D28" s="19">
        <v>1</v>
      </c>
      <c r="E28" s="19">
        <v>2</v>
      </c>
      <c r="F28" s="19">
        <v>6</v>
      </c>
      <c r="G28" s="77" t="s">
        <v>202</v>
      </c>
      <c r="R28" s="12"/>
      <c r="Y28" s="44">
        <f>'Työaika ryhmä'!S21</f>
        <v>5</v>
      </c>
    </row>
    <row r="29" spans="1:26" x14ac:dyDescent="0.3">
      <c r="A29" s="6" t="s">
        <v>87</v>
      </c>
      <c r="B29" s="17" t="s">
        <v>138</v>
      </c>
      <c r="C29" s="17" t="s">
        <v>100</v>
      </c>
      <c r="D29" s="19">
        <v>1</v>
      </c>
      <c r="E29" s="19">
        <v>2</v>
      </c>
      <c r="F29" s="19">
        <v>8</v>
      </c>
      <c r="G29" s="77" t="s">
        <v>202</v>
      </c>
    </row>
    <row r="30" spans="1:26" x14ac:dyDescent="0.3">
      <c r="A30" s="6" t="s">
        <v>88</v>
      </c>
      <c r="B30" s="17" t="s">
        <v>140</v>
      </c>
      <c r="C30" s="17" t="s">
        <v>100</v>
      </c>
      <c r="D30" s="19">
        <v>1</v>
      </c>
      <c r="E30" s="19">
        <v>2</v>
      </c>
      <c r="F30" s="19">
        <v>8</v>
      </c>
      <c r="G30" s="77" t="s">
        <v>202</v>
      </c>
    </row>
    <row r="31" spans="1:26" x14ac:dyDescent="0.3">
      <c r="A31" s="6" t="s">
        <v>89</v>
      </c>
      <c r="B31" s="17" t="s">
        <v>142</v>
      </c>
      <c r="C31" s="17" t="s">
        <v>156</v>
      </c>
      <c r="D31" s="19">
        <v>1</v>
      </c>
      <c r="E31" s="19">
        <v>2</v>
      </c>
      <c r="F31" s="19">
        <v>6</v>
      </c>
      <c r="G31" s="77" t="s">
        <v>202</v>
      </c>
      <c r="I31" s="21"/>
      <c r="J31" s="15"/>
      <c r="K31" s="15"/>
      <c r="L31" s="15"/>
      <c r="M31" s="15"/>
      <c r="N31" s="15"/>
      <c r="O31" s="15"/>
      <c r="P31" s="22">
        <f ca="1">SUM(F18:P47)</f>
        <v>0</v>
      </c>
    </row>
    <row r="32" spans="1:26" x14ac:dyDescent="0.3">
      <c r="A32" s="6" t="s">
        <v>90</v>
      </c>
      <c r="B32" s="17" t="s">
        <v>144</v>
      </c>
      <c r="C32" s="17" t="s">
        <v>102</v>
      </c>
      <c r="D32" s="19">
        <v>2</v>
      </c>
      <c r="E32" s="19">
        <v>2</v>
      </c>
      <c r="F32" s="19">
        <v>6</v>
      </c>
      <c r="G32" s="77" t="s">
        <v>202</v>
      </c>
    </row>
    <row r="33" spans="1:7" x14ac:dyDescent="0.3">
      <c r="A33" s="6" t="s">
        <v>91</v>
      </c>
      <c r="B33" s="17" t="s">
        <v>146</v>
      </c>
      <c r="C33" s="17" t="s">
        <v>101</v>
      </c>
      <c r="D33" s="19">
        <v>2</v>
      </c>
      <c r="E33" s="19">
        <v>2</v>
      </c>
      <c r="F33" s="19">
        <v>6</v>
      </c>
      <c r="G33" s="77" t="s">
        <v>202</v>
      </c>
    </row>
    <row r="34" spans="1:7" x14ac:dyDescent="0.3">
      <c r="A34" s="6" t="s">
        <v>92</v>
      </c>
      <c r="B34" s="17" t="s">
        <v>148</v>
      </c>
      <c r="C34" s="20" t="s">
        <v>101</v>
      </c>
      <c r="D34" s="19">
        <v>2</v>
      </c>
      <c r="E34" s="19">
        <v>2</v>
      </c>
      <c r="F34" s="19">
        <v>6</v>
      </c>
      <c r="G34" s="77" t="s">
        <v>202</v>
      </c>
    </row>
    <row r="35" spans="1:7" x14ac:dyDescent="0.3">
      <c r="A35" s="6" t="s">
        <v>93</v>
      </c>
      <c r="B35" s="17" t="s">
        <v>150</v>
      </c>
      <c r="C35" s="20" t="s">
        <v>104</v>
      </c>
      <c r="D35" s="19">
        <v>1</v>
      </c>
      <c r="E35" s="19">
        <v>2</v>
      </c>
      <c r="F35" s="19">
        <v>6</v>
      </c>
      <c r="G35" s="77" t="s">
        <v>202</v>
      </c>
    </row>
    <row r="36" spans="1:7" x14ac:dyDescent="0.3">
      <c r="A36" s="6" t="s">
        <v>94</v>
      </c>
      <c r="B36" s="17" t="s">
        <v>152</v>
      </c>
      <c r="C36" s="20" t="s">
        <v>103</v>
      </c>
      <c r="D36" s="19">
        <v>2</v>
      </c>
      <c r="E36" s="19">
        <v>2</v>
      </c>
      <c r="F36" s="19">
        <v>4</v>
      </c>
      <c r="G36" s="77" t="s">
        <v>202</v>
      </c>
    </row>
    <row r="37" spans="1:7" x14ac:dyDescent="0.3">
      <c r="A37" s="6" t="s">
        <v>191</v>
      </c>
      <c r="B37" s="17" t="s">
        <v>154</v>
      </c>
      <c r="C37" s="20" t="s">
        <v>106</v>
      </c>
      <c r="D37" s="19">
        <v>2</v>
      </c>
      <c r="E37" s="19">
        <v>2</v>
      </c>
      <c r="F37" s="19">
        <v>2</v>
      </c>
      <c r="G37" s="77" t="s">
        <v>202</v>
      </c>
    </row>
    <row r="38" spans="1:7" x14ac:dyDescent="0.3">
      <c r="A38" s="6" t="s">
        <v>192</v>
      </c>
      <c r="B38" s="17" t="s">
        <v>160</v>
      </c>
      <c r="C38" s="17" t="s">
        <v>180</v>
      </c>
      <c r="D38" s="19">
        <v>1</v>
      </c>
      <c r="E38" s="19">
        <v>3</v>
      </c>
      <c r="F38" s="19">
        <v>4</v>
      </c>
      <c r="G38" s="77" t="s">
        <v>202</v>
      </c>
    </row>
    <row r="39" spans="1:7" x14ac:dyDescent="0.3">
      <c r="A39" s="6" t="s">
        <v>193</v>
      </c>
      <c r="B39" s="17" t="s">
        <v>162</v>
      </c>
      <c r="C39" s="17" t="s">
        <v>104</v>
      </c>
      <c r="D39" s="19">
        <v>1</v>
      </c>
      <c r="E39" s="19">
        <v>3</v>
      </c>
      <c r="F39" s="19">
        <v>6</v>
      </c>
      <c r="G39" s="77" t="s">
        <v>202</v>
      </c>
    </row>
    <row r="40" spans="1:7" x14ac:dyDescent="0.3">
      <c r="A40" s="6" t="s">
        <v>194</v>
      </c>
      <c r="B40" s="17" t="s">
        <v>164</v>
      </c>
      <c r="C40" s="17" t="s">
        <v>104</v>
      </c>
      <c r="D40" s="19">
        <v>1</v>
      </c>
      <c r="E40" s="19">
        <v>3</v>
      </c>
      <c r="F40" s="19">
        <v>6</v>
      </c>
      <c r="G40" s="77" t="s">
        <v>202</v>
      </c>
    </row>
    <row r="41" spans="1:7" x14ac:dyDescent="0.3">
      <c r="A41" s="6" t="s">
        <v>195</v>
      </c>
      <c r="B41" s="17" t="s">
        <v>166</v>
      </c>
      <c r="C41" s="17" t="s">
        <v>181</v>
      </c>
      <c r="D41" s="19">
        <v>1</v>
      </c>
      <c r="E41" s="19">
        <v>3</v>
      </c>
      <c r="F41" s="19">
        <v>6</v>
      </c>
      <c r="G41" s="77" t="s">
        <v>202</v>
      </c>
    </row>
    <row r="42" spans="1:7" x14ac:dyDescent="0.3">
      <c r="A42" s="6" t="s">
        <v>196</v>
      </c>
      <c r="B42" s="17" t="s">
        <v>168</v>
      </c>
      <c r="C42" s="17" t="s">
        <v>182</v>
      </c>
      <c r="D42" s="19">
        <v>1</v>
      </c>
      <c r="E42" s="19">
        <v>3</v>
      </c>
      <c r="F42" s="19">
        <v>6</v>
      </c>
      <c r="G42" s="77" t="s">
        <v>202</v>
      </c>
    </row>
    <row r="43" spans="1:7" x14ac:dyDescent="0.3">
      <c r="A43" s="6" t="s">
        <v>197</v>
      </c>
      <c r="B43" s="17" t="s">
        <v>170</v>
      </c>
      <c r="C43" s="17" t="s">
        <v>105</v>
      </c>
      <c r="D43" s="19">
        <v>2</v>
      </c>
      <c r="E43" s="19">
        <v>3</v>
      </c>
      <c r="F43" s="19">
        <v>5</v>
      </c>
      <c r="G43" s="77" t="s">
        <v>202</v>
      </c>
    </row>
    <row r="44" spans="1:7" x14ac:dyDescent="0.3">
      <c r="A44" s="6" t="s">
        <v>198</v>
      </c>
      <c r="B44" s="17" t="s">
        <v>172</v>
      </c>
      <c r="C44" s="20" t="s">
        <v>101</v>
      </c>
      <c r="D44" s="19">
        <v>2</v>
      </c>
      <c r="E44" s="19">
        <v>3</v>
      </c>
      <c r="F44" s="19">
        <v>5</v>
      </c>
      <c r="G44" s="77" t="s">
        <v>202</v>
      </c>
    </row>
    <row r="45" spans="1:7" x14ac:dyDescent="0.3">
      <c r="A45" s="6" t="s">
        <v>199</v>
      </c>
      <c r="B45" s="17" t="s">
        <v>174</v>
      </c>
      <c r="C45" s="20" t="s">
        <v>98</v>
      </c>
      <c r="D45" s="19">
        <v>1</v>
      </c>
      <c r="E45" s="19">
        <v>3</v>
      </c>
      <c r="F45" s="19">
        <v>6</v>
      </c>
      <c r="G45" s="77" t="s">
        <v>202</v>
      </c>
    </row>
    <row r="46" spans="1:7" x14ac:dyDescent="0.3">
      <c r="A46" s="6" t="s">
        <v>200</v>
      </c>
      <c r="B46" s="17" t="s">
        <v>176</v>
      </c>
      <c r="C46" s="20" t="s">
        <v>126</v>
      </c>
      <c r="D46" s="19">
        <v>2</v>
      </c>
      <c r="E46" s="19">
        <v>3</v>
      </c>
      <c r="F46" s="19">
        <v>4</v>
      </c>
      <c r="G46" s="77" t="s">
        <v>202</v>
      </c>
    </row>
    <row r="47" spans="1:7" x14ac:dyDescent="0.3">
      <c r="A47" s="6" t="s">
        <v>201</v>
      </c>
      <c r="B47" s="17" t="s">
        <v>178</v>
      </c>
      <c r="C47" s="20" t="s">
        <v>183</v>
      </c>
      <c r="D47" s="19">
        <v>1</v>
      </c>
      <c r="E47" s="19">
        <v>3</v>
      </c>
      <c r="F47" s="19">
        <v>4</v>
      </c>
      <c r="G47" s="77" t="s">
        <v>202</v>
      </c>
    </row>
    <row r="49" spans="6:9" x14ac:dyDescent="0.3">
      <c r="F49" s="9">
        <f>SUM(F18:F47)</f>
        <v>162</v>
      </c>
    </row>
    <row r="61" spans="6:9" x14ac:dyDescent="0.3">
      <c r="I61" s="12"/>
    </row>
  </sheetData>
  <phoneticPr fontId="13" type="noConversion"/>
  <pageMargins left="0.7" right="0.7" top="0.75" bottom="0.75" header="0.3" footer="0.3"/>
  <pageSetup paperSize="9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A08C6-F9F0-4529-A90F-E0E3A241A4DE}">
  <dimension ref="A1:AL61"/>
  <sheetViews>
    <sheetView topLeftCell="A4" zoomScale="77" zoomScaleNormal="85" workbookViewId="0">
      <selection activeCell="J34" sqref="J34"/>
    </sheetView>
  </sheetViews>
  <sheetFormatPr defaultRowHeight="14.4" x14ac:dyDescent="0.3"/>
  <cols>
    <col min="1" max="1" width="5.6640625" customWidth="1"/>
    <col min="2" max="2" width="51" customWidth="1"/>
    <col min="3" max="3" width="23.109375" customWidth="1"/>
    <col min="4" max="5" width="10.6640625" customWidth="1"/>
    <col min="6" max="6" width="18.33203125" customWidth="1"/>
    <col min="7" max="7" width="10.6640625" customWidth="1"/>
    <col min="9" max="9" width="6.44140625" customWidth="1"/>
    <col min="10" max="10" width="43" customWidth="1"/>
    <col min="11" max="11" width="56.5546875" customWidth="1"/>
    <col min="12" max="12" width="20.88671875" customWidth="1"/>
    <col min="13" max="13" width="10.6640625" customWidth="1"/>
    <col min="14" max="14" width="12.88671875" customWidth="1"/>
    <col min="15" max="15" width="12.77734375" customWidth="1"/>
    <col min="16" max="16" width="20.6640625" customWidth="1"/>
    <col min="18" max="18" width="5.6640625" customWidth="1"/>
    <col min="19" max="20" width="40.6640625" customWidth="1"/>
    <col min="21" max="24" width="10.6640625" customWidth="1"/>
    <col min="25" max="25" width="19.21875" bestFit="1" customWidth="1"/>
  </cols>
  <sheetData>
    <row r="1" spans="1:38" x14ac:dyDescent="0.3">
      <c r="A1" s="7" t="s">
        <v>3</v>
      </c>
    </row>
    <row r="2" spans="1:38" ht="15" thickBot="1" x14ac:dyDescent="0.35">
      <c r="A2" s="7"/>
    </row>
    <row r="3" spans="1:38" ht="21.6" thickBot="1" x14ac:dyDescent="0.45">
      <c r="A3" s="41" t="s">
        <v>33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3"/>
    </row>
    <row r="4" spans="1:38" x14ac:dyDescent="0.3">
      <c r="A4" s="9"/>
      <c r="I4" s="10"/>
      <c r="J4" s="14"/>
      <c r="K4" s="15"/>
      <c r="L4" s="15"/>
      <c r="M4" s="15"/>
      <c r="N4" s="15"/>
      <c r="O4" s="15"/>
      <c r="P4" s="15"/>
    </row>
    <row r="5" spans="1:38" ht="18" x14ac:dyDescent="0.35">
      <c r="A5" s="2" t="s">
        <v>0</v>
      </c>
      <c r="D5" s="8"/>
      <c r="I5" s="11" t="s">
        <v>12</v>
      </c>
      <c r="J5" s="15"/>
      <c r="K5" s="15"/>
      <c r="L5" s="15"/>
      <c r="M5" s="16"/>
      <c r="N5" s="15"/>
      <c r="O5" s="15"/>
      <c r="P5" s="15"/>
      <c r="R5" s="11" t="s">
        <v>7</v>
      </c>
      <c r="V5" s="8"/>
      <c r="AA5" s="11" t="s">
        <v>76</v>
      </c>
      <c r="AE5" s="8"/>
    </row>
    <row r="6" spans="1:38" x14ac:dyDescent="0.3">
      <c r="A6" t="s">
        <v>186</v>
      </c>
      <c r="I6" t="s">
        <v>187</v>
      </c>
      <c r="J6" s="15"/>
      <c r="K6" s="15"/>
      <c r="L6" s="15"/>
      <c r="M6" s="15"/>
      <c r="N6" s="15"/>
      <c r="O6" s="15"/>
      <c r="P6" s="15"/>
      <c r="R6" t="s">
        <v>8</v>
      </c>
      <c r="AA6" t="s">
        <v>8</v>
      </c>
    </row>
    <row r="7" spans="1:38" x14ac:dyDescent="0.3">
      <c r="I7" s="15"/>
      <c r="J7" s="15"/>
      <c r="K7" s="15"/>
      <c r="L7" s="15"/>
      <c r="M7" s="15"/>
      <c r="N7" s="15"/>
      <c r="O7" s="15"/>
      <c r="P7" s="15"/>
    </row>
    <row r="8" spans="1:38" x14ac:dyDescent="0.3">
      <c r="I8" s="15"/>
      <c r="J8" s="15"/>
      <c r="K8" s="15"/>
      <c r="L8" s="15"/>
      <c r="M8" s="15"/>
      <c r="N8" s="15"/>
      <c r="O8" s="15"/>
      <c r="P8" s="15"/>
    </row>
    <row r="9" spans="1:38" x14ac:dyDescent="0.3">
      <c r="I9" s="15"/>
      <c r="J9" s="15"/>
      <c r="K9" s="15"/>
      <c r="L9" s="15"/>
      <c r="M9" s="15"/>
      <c r="N9" s="15"/>
      <c r="O9" s="15"/>
      <c r="P9" s="15"/>
    </row>
    <row r="10" spans="1:38" x14ac:dyDescent="0.3">
      <c r="I10" s="15"/>
      <c r="J10" s="15"/>
      <c r="K10" s="15"/>
      <c r="L10" s="15"/>
      <c r="M10" s="15"/>
      <c r="N10" s="15"/>
      <c r="O10" s="15"/>
      <c r="P10" s="15"/>
    </row>
    <row r="11" spans="1:38" x14ac:dyDescent="0.3">
      <c r="I11" s="15"/>
      <c r="J11" s="15"/>
      <c r="K11" s="15"/>
      <c r="L11" s="15"/>
      <c r="M11" s="15"/>
      <c r="N11" s="15"/>
      <c r="O11" s="15"/>
      <c r="P11" s="15"/>
    </row>
    <row r="12" spans="1:38" x14ac:dyDescent="0.3">
      <c r="I12" s="15"/>
      <c r="J12" s="15"/>
      <c r="K12" s="15"/>
      <c r="L12" s="15"/>
      <c r="M12" s="15"/>
      <c r="N12" s="15"/>
      <c r="O12" s="15"/>
      <c r="P12" s="15"/>
    </row>
    <row r="13" spans="1:38" x14ac:dyDescent="0.3">
      <c r="I13" s="15"/>
      <c r="J13" s="15"/>
      <c r="K13" s="15"/>
      <c r="L13" s="15"/>
      <c r="M13" s="15"/>
      <c r="N13" s="15"/>
      <c r="O13" s="15"/>
      <c r="P13" s="15"/>
    </row>
    <row r="14" spans="1:38" x14ac:dyDescent="0.3">
      <c r="I14" s="15"/>
      <c r="J14" s="15"/>
      <c r="K14" s="15"/>
      <c r="L14" s="15"/>
      <c r="M14" s="15"/>
      <c r="N14" s="15"/>
      <c r="O14" s="15"/>
      <c r="P14" s="15"/>
    </row>
    <row r="15" spans="1:38" x14ac:dyDescent="0.3">
      <c r="I15" s="15"/>
      <c r="J15" s="15"/>
      <c r="K15" s="15"/>
      <c r="L15" s="15"/>
      <c r="M15" s="15"/>
      <c r="N15" s="15"/>
      <c r="O15" s="15"/>
      <c r="P15" s="15"/>
    </row>
    <row r="16" spans="1:38" x14ac:dyDescent="0.3">
      <c r="I16" s="15"/>
      <c r="J16" s="15"/>
      <c r="K16" s="15"/>
      <c r="L16" s="15"/>
      <c r="M16" s="15"/>
      <c r="N16" s="15"/>
      <c r="O16" s="15"/>
      <c r="P16" s="15"/>
      <c r="R16" s="12"/>
    </row>
    <row r="17" spans="1:26" s="52" customFormat="1" ht="24.45" customHeight="1" x14ac:dyDescent="0.3">
      <c r="A17" s="54" t="s">
        <v>17</v>
      </c>
      <c r="B17" s="54" t="s">
        <v>4</v>
      </c>
      <c r="C17" s="54" t="s">
        <v>5</v>
      </c>
      <c r="D17" s="54" t="s">
        <v>1</v>
      </c>
      <c r="E17" s="54" t="s">
        <v>32</v>
      </c>
      <c r="F17" s="54" t="s">
        <v>13</v>
      </c>
      <c r="G17" s="54" t="s">
        <v>2</v>
      </c>
      <c r="I17" s="56" t="s">
        <v>17</v>
      </c>
      <c r="J17" s="54" t="s">
        <v>14</v>
      </c>
      <c r="K17" s="54" t="s">
        <v>15</v>
      </c>
      <c r="L17" s="54" t="s">
        <v>5</v>
      </c>
      <c r="M17" s="54" t="s">
        <v>1</v>
      </c>
      <c r="N17" s="54" t="s">
        <v>6</v>
      </c>
      <c r="O17" s="54" t="s">
        <v>45</v>
      </c>
      <c r="P17" s="54" t="s">
        <v>13</v>
      </c>
      <c r="Q17" s="37"/>
      <c r="R17" s="56" t="s">
        <v>17</v>
      </c>
      <c r="S17" s="55" t="s">
        <v>9</v>
      </c>
      <c r="T17" s="55" t="s">
        <v>10</v>
      </c>
      <c r="U17" s="55" t="s">
        <v>5</v>
      </c>
      <c r="V17" s="55" t="s">
        <v>1</v>
      </c>
      <c r="W17" s="55" t="s">
        <v>6</v>
      </c>
      <c r="X17" s="55" t="s">
        <v>45</v>
      </c>
      <c r="Y17" s="55" t="s">
        <v>16</v>
      </c>
      <c r="Z17" s="37"/>
    </row>
    <row r="18" spans="1:26" s="1" customFormat="1" x14ac:dyDescent="0.3">
      <c r="A18" s="6" t="s">
        <v>35</v>
      </c>
      <c r="B18" s="17" t="s">
        <v>83</v>
      </c>
      <c r="C18" s="17" t="s">
        <v>95</v>
      </c>
      <c r="D18" s="19">
        <v>1</v>
      </c>
      <c r="E18" s="19">
        <v>1</v>
      </c>
      <c r="F18" s="19">
        <v>4</v>
      </c>
      <c r="G18" s="19" t="s">
        <v>189</v>
      </c>
      <c r="I18" s="6" t="s">
        <v>56</v>
      </c>
      <c r="J18" s="17" t="s">
        <v>136</v>
      </c>
      <c r="K18" s="17" t="s">
        <v>137</v>
      </c>
      <c r="L18" s="17" t="s">
        <v>100</v>
      </c>
      <c r="M18" s="19">
        <v>1</v>
      </c>
      <c r="N18" s="19" t="s">
        <v>129</v>
      </c>
      <c r="O18" s="19" t="s">
        <v>132</v>
      </c>
      <c r="P18" s="19">
        <v>6</v>
      </c>
      <c r="Q18"/>
      <c r="R18" s="3" t="s">
        <v>56</v>
      </c>
      <c r="S18" s="13"/>
      <c r="T18" s="13"/>
      <c r="U18" s="5"/>
      <c r="V18" s="3"/>
      <c r="W18" s="3"/>
      <c r="X18" s="3"/>
      <c r="Y18" s="57">
        <f>'Työaika ryhmä'!I40</f>
        <v>0</v>
      </c>
      <c r="Z18"/>
    </row>
    <row r="19" spans="1:26" s="1" customFormat="1" x14ac:dyDescent="0.3">
      <c r="A19" s="6" t="s">
        <v>36</v>
      </c>
      <c r="B19" s="17" t="s">
        <v>84</v>
      </c>
      <c r="C19" s="17" t="s">
        <v>95</v>
      </c>
      <c r="D19" s="19">
        <v>1</v>
      </c>
      <c r="E19" s="19">
        <v>1</v>
      </c>
      <c r="F19" s="19">
        <v>6</v>
      </c>
      <c r="G19" s="19" t="s">
        <v>189</v>
      </c>
      <c r="I19" s="6" t="s">
        <v>57</v>
      </c>
      <c r="J19" s="17" t="s">
        <v>138</v>
      </c>
      <c r="K19" s="17" t="s">
        <v>139</v>
      </c>
      <c r="L19" s="17" t="s">
        <v>100</v>
      </c>
      <c r="M19" s="19">
        <v>1</v>
      </c>
      <c r="N19" s="19" t="s">
        <v>129</v>
      </c>
      <c r="O19" s="19" t="s">
        <v>157</v>
      </c>
      <c r="P19" s="19">
        <v>8</v>
      </c>
      <c r="Q19"/>
      <c r="R19" s="3" t="s">
        <v>57</v>
      </c>
      <c r="S19" s="13"/>
      <c r="T19" s="13"/>
      <c r="U19" s="5"/>
      <c r="V19" s="3"/>
      <c r="W19" s="3"/>
      <c r="X19" s="3"/>
      <c r="Y19" s="57">
        <f>'Työaika ryhmä'!J40</f>
        <v>0</v>
      </c>
      <c r="Z19"/>
    </row>
    <row r="20" spans="1:26" s="1" customFormat="1" x14ac:dyDescent="0.3">
      <c r="A20" s="6" t="s">
        <v>37</v>
      </c>
      <c r="B20" s="17" t="s">
        <v>110</v>
      </c>
      <c r="C20" s="17" t="s">
        <v>96</v>
      </c>
      <c r="D20" s="19">
        <v>1</v>
      </c>
      <c r="E20" s="19">
        <v>1</v>
      </c>
      <c r="F20" s="19">
        <v>4</v>
      </c>
      <c r="G20" s="19" t="s">
        <v>189</v>
      </c>
      <c r="I20" s="6" t="s">
        <v>58</v>
      </c>
      <c r="J20" s="17" t="s">
        <v>140</v>
      </c>
      <c r="K20" s="17" t="s">
        <v>141</v>
      </c>
      <c r="L20" s="17" t="s">
        <v>100</v>
      </c>
      <c r="M20" s="19">
        <v>1</v>
      </c>
      <c r="N20" s="19" t="s">
        <v>157</v>
      </c>
      <c r="O20" s="19" t="s">
        <v>129</v>
      </c>
      <c r="P20" s="19">
        <v>8</v>
      </c>
      <c r="Q20"/>
      <c r="R20" s="3" t="s">
        <v>58</v>
      </c>
      <c r="S20" s="13"/>
      <c r="T20" s="13"/>
      <c r="U20" s="5"/>
      <c r="V20" s="3"/>
      <c r="W20" s="3"/>
      <c r="X20" s="3"/>
      <c r="Y20" s="57">
        <f>'Työaika ryhmä'!K40</f>
        <v>0</v>
      </c>
      <c r="Z20"/>
    </row>
    <row r="21" spans="1:26" s="1" customFormat="1" x14ac:dyDescent="0.3">
      <c r="A21" s="6" t="s">
        <v>38</v>
      </c>
      <c r="B21" s="17" t="s">
        <v>112</v>
      </c>
      <c r="C21" s="17" t="s">
        <v>96</v>
      </c>
      <c r="D21" s="19">
        <v>1</v>
      </c>
      <c r="E21" s="19">
        <v>1</v>
      </c>
      <c r="F21" s="19">
        <v>10</v>
      </c>
      <c r="G21" s="19" t="s">
        <v>190</v>
      </c>
      <c r="I21" s="6" t="s">
        <v>59</v>
      </c>
      <c r="J21" s="17" t="s">
        <v>142</v>
      </c>
      <c r="K21" s="17" t="s">
        <v>143</v>
      </c>
      <c r="L21" s="17" t="s">
        <v>156</v>
      </c>
      <c r="M21" s="19">
        <v>1</v>
      </c>
      <c r="N21" s="19" t="s">
        <v>158</v>
      </c>
      <c r="O21" s="19" t="s">
        <v>129</v>
      </c>
      <c r="P21" s="19">
        <v>6</v>
      </c>
      <c r="Q21"/>
      <c r="R21" s="3" t="s">
        <v>59</v>
      </c>
      <c r="S21" s="13"/>
      <c r="T21" s="13"/>
      <c r="U21" s="5"/>
      <c r="V21" s="3"/>
      <c r="W21" s="3"/>
      <c r="X21" s="3"/>
      <c r="Y21" s="57">
        <f>'Työaika ryhmä'!L40</f>
        <v>0</v>
      </c>
      <c r="Z21"/>
    </row>
    <row r="22" spans="1:26" s="1" customFormat="1" x14ac:dyDescent="0.3">
      <c r="A22" s="6" t="s">
        <v>39</v>
      </c>
      <c r="B22" s="17" t="s">
        <v>114</v>
      </c>
      <c r="C22" s="17" t="s">
        <v>125</v>
      </c>
      <c r="D22" s="19">
        <v>1</v>
      </c>
      <c r="E22" s="19">
        <v>1</v>
      </c>
      <c r="F22" s="19">
        <v>6</v>
      </c>
      <c r="G22" s="19" t="s">
        <v>202</v>
      </c>
      <c r="I22" s="6" t="s">
        <v>60</v>
      </c>
      <c r="J22" s="17" t="s">
        <v>144</v>
      </c>
      <c r="K22" s="17" t="s">
        <v>145</v>
      </c>
      <c r="L22" s="17" t="s">
        <v>102</v>
      </c>
      <c r="M22" s="19">
        <v>2</v>
      </c>
      <c r="N22" s="19" t="s">
        <v>158</v>
      </c>
      <c r="O22" s="19" t="s">
        <v>130</v>
      </c>
      <c r="P22" s="19">
        <v>6</v>
      </c>
      <c r="Q22"/>
      <c r="R22" s="3" t="s">
        <v>60</v>
      </c>
      <c r="S22" s="13"/>
      <c r="T22" s="13"/>
      <c r="U22" s="5"/>
      <c r="V22" s="3"/>
      <c r="W22" s="3"/>
      <c r="X22" s="3"/>
      <c r="Y22" s="57">
        <f>'Työaika ryhmä'!M40</f>
        <v>0</v>
      </c>
      <c r="Z22"/>
    </row>
    <row r="23" spans="1:26" s="1" customFormat="1" x14ac:dyDescent="0.3">
      <c r="A23" s="6" t="s">
        <v>40</v>
      </c>
      <c r="B23" s="17" t="s">
        <v>116</v>
      </c>
      <c r="C23" s="17" t="s">
        <v>97</v>
      </c>
      <c r="D23" s="19">
        <v>1</v>
      </c>
      <c r="E23" s="19">
        <v>1</v>
      </c>
      <c r="F23" s="19">
        <v>6</v>
      </c>
      <c r="G23" s="19" t="s">
        <v>202</v>
      </c>
      <c r="I23" s="6" t="s">
        <v>61</v>
      </c>
      <c r="J23" s="17" t="s">
        <v>146</v>
      </c>
      <c r="K23" s="17" t="s">
        <v>147</v>
      </c>
      <c r="L23" s="17" t="s">
        <v>101</v>
      </c>
      <c r="M23" s="19">
        <v>2</v>
      </c>
      <c r="N23" s="19" t="s">
        <v>159</v>
      </c>
      <c r="O23" s="19" t="s">
        <v>132</v>
      </c>
      <c r="P23" s="19">
        <v>6</v>
      </c>
      <c r="Q23"/>
      <c r="R23" s="3" t="s">
        <v>61</v>
      </c>
      <c r="S23" s="13"/>
      <c r="T23" s="13"/>
      <c r="U23" s="5"/>
      <c r="V23" s="3"/>
      <c r="W23" s="3"/>
      <c r="X23" s="3"/>
      <c r="Y23" s="57">
        <f>'Työaika ryhmä'!N40</f>
        <v>0</v>
      </c>
      <c r="Z23"/>
    </row>
    <row r="24" spans="1:26" x14ac:dyDescent="0.3">
      <c r="A24" s="6" t="s">
        <v>41</v>
      </c>
      <c r="B24" s="20" t="s">
        <v>118</v>
      </c>
      <c r="C24" s="20" t="s">
        <v>97</v>
      </c>
      <c r="D24" s="19">
        <v>2</v>
      </c>
      <c r="E24" s="19">
        <v>1</v>
      </c>
      <c r="F24" s="19">
        <v>6</v>
      </c>
      <c r="G24" s="19" t="s">
        <v>202</v>
      </c>
      <c r="I24" s="6" t="s">
        <v>62</v>
      </c>
      <c r="J24" s="17" t="s">
        <v>148</v>
      </c>
      <c r="K24" s="17" t="s">
        <v>149</v>
      </c>
      <c r="L24" s="20" t="s">
        <v>101</v>
      </c>
      <c r="M24" s="19">
        <v>2</v>
      </c>
      <c r="N24" s="19" t="s">
        <v>159</v>
      </c>
      <c r="O24" s="19" t="s">
        <v>129</v>
      </c>
      <c r="P24" s="19">
        <v>6</v>
      </c>
      <c r="R24" s="3" t="s">
        <v>62</v>
      </c>
      <c r="S24" s="13"/>
      <c r="T24" s="13"/>
      <c r="U24" s="4"/>
      <c r="V24" s="3"/>
      <c r="W24" s="3"/>
      <c r="X24" s="3"/>
      <c r="Y24" s="57">
        <f>'Työaika ryhmä'!O40</f>
        <v>0</v>
      </c>
    </row>
    <row r="25" spans="1:26" x14ac:dyDescent="0.3">
      <c r="A25" s="6" t="s">
        <v>42</v>
      </c>
      <c r="B25" s="20" t="s">
        <v>85</v>
      </c>
      <c r="C25" s="20" t="s">
        <v>98</v>
      </c>
      <c r="D25" s="19">
        <v>2</v>
      </c>
      <c r="E25" s="19">
        <v>1</v>
      </c>
      <c r="F25" s="19">
        <v>4</v>
      </c>
      <c r="G25" s="19" t="s">
        <v>202</v>
      </c>
      <c r="I25" s="6" t="s">
        <v>63</v>
      </c>
      <c r="J25" s="17" t="s">
        <v>150</v>
      </c>
      <c r="K25" s="17" t="s">
        <v>151</v>
      </c>
      <c r="L25" s="20" t="s">
        <v>104</v>
      </c>
      <c r="M25" s="19">
        <v>1</v>
      </c>
      <c r="N25" s="19" t="s">
        <v>130</v>
      </c>
      <c r="O25" s="19" t="s">
        <v>129</v>
      </c>
      <c r="P25" s="19">
        <v>6</v>
      </c>
      <c r="R25" s="3" t="s">
        <v>63</v>
      </c>
      <c r="S25" s="13"/>
      <c r="T25" s="13"/>
      <c r="U25" s="4"/>
      <c r="V25" s="3"/>
      <c r="W25" s="3"/>
      <c r="X25" s="3"/>
      <c r="Y25" s="57">
        <f>'Työaika ryhmä'!P40</f>
        <v>0</v>
      </c>
    </row>
    <row r="26" spans="1:26" x14ac:dyDescent="0.3">
      <c r="A26" s="6" t="s">
        <v>43</v>
      </c>
      <c r="B26" s="20" t="s">
        <v>121</v>
      </c>
      <c r="C26" s="20" t="s">
        <v>99</v>
      </c>
      <c r="D26" s="19">
        <v>1</v>
      </c>
      <c r="E26" s="19">
        <v>1</v>
      </c>
      <c r="F26" s="19">
        <v>2</v>
      </c>
      <c r="G26" s="19" t="s">
        <v>202</v>
      </c>
      <c r="I26" s="6" t="s">
        <v>64</v>
      </c>
      <c r="J26" s="17" t="s">
        <v>152</v>
      </c>
      <c r="K26" s="17" t="s">
        <v>153</v>
      </c>
      <c r="L26" s="20" t="s">
        <v>103</v>
      </c>
      <c r="M26" s="19">
        <v>2</v>
      </c>
      <c r="N26" s="19" t="s">
        <v>127</v>
      </c>
      <c r="O26" s="19" t="s">
        <v>132</v>
      </c>
      <c r="P26" s="19">
        <v>4</v>
      </c>
      <c r="R26" s="3" t="s">
        <v>64</v>
      </c>
      <c r="S26" s="13"/>
      <c r="T26" s="13"/>
      <c r="U26" s="4"/>
      <c r="V26" s="3"/>
      <c r="W26" s="3"/>
      <c r="X26" s="3"/>
      <c r="Y26" s="57">
        <f>'Työaika ryhmä'!Q40</f>
        <v>0</v>
      </c>
    </row>
    <row r="27" spans="1:26" x14ac:dyDescent="0.3">
      <c r="A27" s="6" t="s">
        <v>44</v>
      </c>
      <c r="B27" s="20" t="s">
        <v>123</v>
      </c>
      <c r="C27" s="20" t="s">
        <v>126</v>
      </c>
      <c r="D27" s="19">
        <v>2</v>
      </c>
      <c r="E27" s="19">
        <v>1</v>
      </c>
      <c r="F27" s="19">
        <v>4</v>
      </c>
      <c r="G27" s="19" t="s">
        <v>202</v>
      </c>
      <c r="I27" s="6" t="s">
        <v>65</v>
      </c>
      <c r="J27" s="17" t="s">
        <v>154</v>
      </c>
      <c r="K27" s="17" t="s">
        <v>155</v>
      </c>
      <c r="L27" s="20" t="s">
        <v>106</v>
      </c>
      <c r="M27" s="19">
        <v>2</v>
      </c>
      <c r="N27" s="19" t="s">
        <v>127</v>
      </c>
      <c r="O27" s="19" t="s">
        <v>132</v>
      </c>
      <c r="P27" s="19">
        <v>2</v>
      </c>
      <c r="R27" s="3" t="s">
        <v>65</v>
      </c>
      <c r="S27" s="13"/>
      <c r="T27" s="13"/>
      <c r="U27" s="4"/>
      <c r="V27" s="3"/>
      <c r="W27" s="3"/>
      <c r="X27" s="3"/>
      <c r="Y27" s="57">
        <f>'Työaika ryhmä'!R40</f>
        <v>0</v>
      </c>
    </row>
    <row r="28" spans="1:26" x14ac:dyDescent="0.3">
      <c r="A28" s="6" t="s">
        <v>86</v>
      </c>
      <c r="B28" s="18" t="s">
        <v>136</v>
      </c>
      <c r="C28" s="18" t="s">
        <v>100</v>
      </c>
      <c r="D28" s="77">
        <v>1</v>
      </c>
      <c r="E28" s="77">
        <v>2</v>
      </c>
      <c r="F28" s="77">
        <v>6</v>
      </c>
      <c r="G28" s="77" t="s">
        <v>202</v>
      </c>
      <c r="I28" s="21"/>
      <c r="J28" s="15"/>
      <c r="K28" s="15"/>
      <c r="L28" s="15"/>
      <c r="M28" s="15"/>
      <c r="N28" s="15"/>
      <c r="O28" s="15"/>
      <c r="P28" s="22">
        <f>SUM(P18:P27)</f>
        <v>58</v>
      </c>
      <c r="R28" s="12"/>
      <c r="Y28" s="57">
        <f>'Työaika ryhmä'!S40</f>
        <v>0</v>
      </c>
    </row>
    <row r="29" spans="1:26" x14ac:dyDescent="0.3">
      <c r="A29" s="6" t="s">
        <v>87</v>
      </c>
      <c r="B29" s="18" t="s">
        <v>138</v>
      </c>
      <c r="C29" s="18" t="s">
        <v>100</v>
      </c>
      <c r="D29" s="77">
        <v>1</v>
      </c>
      <c r="E29" s="77">
        <v>2</v>
      </c>
      <c r="F29" s="77">
        <v>8</v>
      </c>
      <c r="G29" s="77" t="s">
        <v>202</v>
      </c>
    </row>
    <row r="30" spans="1:26" x14ac:dyDescent="0.3">
      <c r="A30" s="6" t="s">
        <v>88</v>
      </c>
      <c r="B30" s="18" t="s">
        <v>140</v>
      </c>
      <c r="C30" s="18" t="s">
        <v>100</v>
      </c>
      <c r="D30" s="77">
        <v>1</v>
      </c>
      <c r="E30" s="77">
        <v>2</v>
      </c>
      <c r="F30" s="77">
        <v>8</v>
      </c>
      <c r="G30" s="77" t="s">
        <v>202</v>
      </c>
    </row>
    <row r="31" spans="1:26" x14ac:dyDescent="0.3">
      <c r="A31" s="6" t="s">
        <v>89</v>
      </c>
      <c r="B31" s="18" t="s">
        <v>142</v>
      </c>
      <c r="C31" s="18" t="s">
        <v>156</v>
      </c>
      <c r="D31" s="77">
        <v>1</v>
      </c>
      <c r="E31" s="77">
        <v>2</v>
      </c>
      <c r="F31" s="77">
        <v>6</v>
      </c>
      <c r="G31" s="77" t="s">
        <v>202</v>
      </c>
    </row>
    <row r="32" spans="1:26" x14ac:dyDescent="0.3">
      <c r="A32" s="6" t="s">
        <v>90</v>
      </c>
      <c r="B32" s="18" t="s">
        <v>144</v>
      </c>
      <c r="C32" s="18" t="s">
        <v>102</v>
      </c>
      <c r="D32" s="77">
        <v>2</v>
      </c>
      <c r="E32" s="77">
        <v>2</v>
      </c>
      <c r="F32" s="77">
        <v>6</v>
      </c>
      <c r="G32" s="77" t="s">
        <v>202</v>
      </c>
    </row>
    <row r="33" spans="1:7" x14ac:dyDescent="0.3">
      <c r="A33" s="6" t="s">
        <v>91</v>
      </c>
      <c r="B33" s="18" t="s">
        <v>146</v>
      </c>
      <c r="C33" s="18" t="s">
        <v>101</v>
      </c>
      <c r="D33" s="77">
        <v>2</v>
      </c>
      <c r="E33" s="77">
        <v>2</v>
      </c>
      <c r="F33" s="77">
        <v>6</v>
      </c>
      <c r="G33" s="77" t="s">
        <v>202</v>
      </c>
    </row>
    <row r="34" spans="1:7" x14ac:dyDescent="0.3">
      <c r="A34" s="6" t="s">
        <v>92</v>
      </c>
      <c r="B34" s="18" t="s">
        <v>148</v>
      </c>
      <c r="C34" s="78" t="s">
        <v>101</v>
      </c>
      <c r="D34" s="77">
        <v>2</v>
      </c>
      <c r="E34" s="77">
        <v>2</v>
      </c>
      <c r="F34" s="77">
        <v>6</v>
      </c>
      <c r="G34" s="77" t="s">
        <v>202</v>
      </c>
    </row>
    <row r="35" spans="1:7" x14ac:dyDescent="0.3">
      <c r="A35" s="6" t="s">
        <v>93</v>
      </c>
      <c r="B35" s="18" t="s">
        <v>150</v>
      </c>
      <c r="C35" s="78" t="s">
        <v>104</v>
      </c>
      <c r="D35" s="77">
        <v>1</v>
      </c>
      <c r="E35" s="77">
        <v>2</v>
      </c>
      <c r="F35" s="77">
        <v>6</v>
      </c>
      <c r="G35" s="77" t="s">
        <v>202</v>
      </c>
    </row>
    <row r="36" spans="1:7" x14ac:dyDescent="0.3">
      <c r="A36" s="6" t="s">
        <v>94</v>
      </c>
      <c r="B36" s="18" t="s">
        <v>152</v>
      </c>
      <c r="C36" s="78" t="s">
        <v>103</v>
      </c>
      <c r="D36" s="77">
        <v>2</v>
      </c>
      <c r="E36" s="77">
        <v>2</v>
      </c>
      <c r="F36" s="77">
        <v>4</v>
      </c>
      <c r="G36" s="77" t="s">
        <v>202</v>
      </c>
    </row>
    <row r="37" spans="1:7" x14ac:dyDescent="0.3">
      <c r="A37" s="6" t="s">
        <v>191</v>
      </c>
      <c r="B37" s="18" t="s">
        <v>154</v>
      </c>
      <c r="C37" s="78" t="s">
        <v>106</v>
      </c>
      <c r="D37" s="77">
        <v>2</v>
      </c>
      <c r="E37" s="77">
        <v>2</v>
      </c>
      <c r="F37" s="77">
        <v>2</v>
      </c>
      <c r="G37" s="77" t="s">
        <v>202</v>
      </c>
    </row>
    <row r="38" spans="1:7" x14ac:dyDescent="0.3">
      <c r="A38" s="6" t="s">
        <v>192</v>
      </c>
      <c r="B38" s="17" t="s">
        <v>160</v>
      </c>
      <c r="C38" s="17" t="s">
        <v>180</v>
      </c>
      <c r="D38" s="19">
        <v>1</v>
      </c>
      <c r="E38" s="19">
        <v>3</v>
      </c>
      <c r="F38" s="19">
        <v>4</v>
      </c>
      <c r="G38" s="19" t="s">
        <v>202</v>
      </c>
    </row>
    <row r="39" spans="1:7" x14ac:dyDescent="0.3">
      <c r="A39" s="6" t="s">
        <v>193</v>
      </c>
      <c r="B39" s="17" t="s">
        <v>162</v>
      </c>
      <c r="C39" s="17" t="s">
        <v>104</v>
      </c>
      <c r="D39" s="19">
        <v>1</v>
      </c>
      <c r="E39" s="19">
        <v>3</v>
      </c>
      <c r="F39" s="19">
        <v>6</v>
      </c>
      <c r="G39" s="19" t="s">
        <v>202</v>
      </c>
    </row>
    <row r="40" spans="1:7" x14ac:dyDescent="0.3">
      <c r="A40" s="6" t="s">
        <v>194</v>
      </c>
      <c r="B40" s="17" t="s">
        <v>164</v>
      </c>
      <c r="C40" s="17" t="s">
        <v>104</v>
      </c>
      <c r="D40" s="19">
        <v>1</v>
      </c>
      <c r="E40" s="19">
        <v>3</v>
      </c>
      <c r="F40" s="19">
        <v>6</v>
      </c>
      <c r="G40" s="19" t="s">
        <v>202</v>
      </c>
    </row>
    <row r="41" spans="1:7" x14ac:dyDescent="0.3">
      <c r="A41" s="6" t="s">
        <v>195</v>
      </c>
      <c r="B41" s="17" t="s">
        <v>166</v>
      </c>
      <c r="C41" s="17" t="s">
        <v>181</v>
      </c>
      <c r="D41" s="19">
        <v>1</v>
      </c>
      <c r="E41" s="19">
        <v>3</v>
      </c>
      <c r="F41" s="19">
        <v>6</v>
      </c>
      <c r="G41" s="19" t="s">
        <v>202</v>
      </c>
    </row>
    <row r="42" spans="1:7" x14ac:dyDescent="0.3">
      <c r="A42" s="6" t="s">
        <v>196</v>
      </c>
      <c r="B42" s="17" t="s">
        <v>168</v>
      </c>
      <c r="C42" s="17" t="s">
        <v>182</v>
      </c>
      <c r="D42" s="19">
        <v>1</v>
      </c>
      <c r="E42" s="19">
        <v>3</v>
      </c>
      <c r="F42" s="19">
        <v>6</v>
      </c>
      <c r="G42" s="19" t="s">
        <v>202</v>
      </c>
    </row>
    <row r="43" spans="1:7" x14ac:dyDescent="0.3">
      <c r="A43" s="6" t="s">
        <v>197</v>
      </c>
      <c r="B43" s="17" t="s">
        <v>170</v>
      </c>
      <c r="C43" s="17" t="s">
        <v>105</v>
      </c>
      <c r="D43" s="19">
        <v>2</v>
      </c>
      <c r="E43" s="19">
        <v>3</v>
      </c>
      <c r="F43" s="19">
        <v>5</v>
      </c>
      <c r="G43" s="19" t="s">
        <v>202</v>
      </c>
    </row>
    <row r="44" spans="1:7" x14ac:dyDescent="0.3">
      <c r="A44" s="6" t="s">
        <v>198</v>
      </c>
      <c r="B44" s="17" t="s">
        <v>172</v>
      </c>
      <c r="C44" s="20" t="s">
        <v>101</v>
      </c>
      <c r="D44" s="19">
        <v>2</v>
      </c>
      <c r="E44" s="19">
        <v>3</v>
      </c>
      <c r="F44" s="19">
        <v>5</v>
      </c>
      <c r="G44" s="19" t="s">
        <v>202</v>
      </c>
    </row>
    <row r="45" spans="1:7" x14ac:dyDescent="0.3">
      <c r="A45" s="6" t="s">
        <v>199</v>
      </c>
      <c r="B45" s="17" t="s">
        <v>174</v>
      </c>
      <c r="C45" s="20" t="s">
        <v>98</v>
      </c>
      <c r="D45" s="19">
        <v>1</v>
      </c>
      <c r="E45" s="19">
        <v>3</v>
      </c>
      <c r="F45" s="19">
        <v>6</v>
      </c>
      <c r="G45" s="19" t="s">
        <v>202</v>
      </c>
    </row>
    <row r="46" spans="1:7" x14ac:dyDescent="0.3">
      <c r="A46" s="6" t="s">
        <v>200</v>
      </c>
      <c r="B46" s="17" t="s">
        <v>176</v>
      </c>
      <c r="C46" s="20" t="s">
        <v>126</v>
      </c>
      <c r="D46" s="19">
        <v>2</v>
      </c>
      <c r="E46" s="19">
        <v>3</v>
      </c>
      <c r="F46" s="19">
        <v>4</v>
      </c>
      <c r="G46" s="19" t="s">
        <v>202</v>
      </c>
    </row>
    <row r="47" spans="1:7" x14ac:dyDescent="0.3">
      <c r="A47" s="6" t="s">
        <v>201</v>
      </c>
      <c r="B47" s="17" t="s">
        <v>178</v>
      </c>
      <c r="C47" s="20" t="s">
        <v>183</v>
      </c>
      <c r="D47" s="19">
        <v>1</v>
      </c>
      <c r="E47" s="19">
        <v>3</v>
      </c>
      <c r="F47" s="19">
        <v>4</v>
      </c>
      <c r="G47" s="19" t="s">
        <v>202</v>
      </c>
    </row>
    <row r="49" spans="6:9" x14ac:dyDescent="0.3">
      <c r="F49" s="9">
        <f>SUM(F18:F47)</f>
        <v>162</v>
      </c>
    </row>
    <row r="61" spans="6:9" x14ac:dyDescent="0.3">
      <c r="I61" s="12"/>
    </row>
  </sheetData>
  <phoneticPr fontId="13" type="noConversion"/>
  <pageMargins left="0.7" right="0.7" top="0.75" bottom="0.75" header="0.3" footer="0.3"/>
  <pageSetup paperSize="9" orientation="landscape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C550-E097-4238-8CFF-F78BF7C4D1FB}">
  <dimension ref="A1:AL61"/>
  <sheetViews>
    <sheetView topLeftCell="B3" zoomScale="78" zoomScaleNormal="85" workbookViewId="0">
      <selection activeCell="J35" sqref="J35"/>
    </sheetView>
  </sheetViews>
  <sheetFormatPr defaultRowHeight="14.4" x14ac:dyDescent="0.3"/>
  <cols>
    <col min="1" max="1" width="5.6640625" customWidth="1"/>
    <col min="2" max="2" width="51" customWidth="1"/>
    <col min="3" max="3" width="28.77734375" customWidth="1"/>
    <col min="4" max="5" width="10.6640625" customWidth="1"/>
    <col min="6" max="6" width="17.21875" customWidth="1"/>
    <col min="7" max="7" width="10.6640625" customWidth="1"/>
    <col min="9" max="9" width="5.6640625" customWidth="1"/>
    <col min="10" max="10" width="40.6640625" customWidth="1"/>
    <col min="11" max="11" width="56.109375" customWidth="1"/>
    <col min="12" max="12" width="20.33203125" customWidth="1"/>
    <col min="13" max="13" width="10.6640625" customWidth="1"/>
    <col min="14" max="14" width="14.109375" customWidth="1"/>
    <col min="15" max="15" width="14.77734375" customWidth="1"/>
    <col min="16" max="16" width="20.6640625" customWidth="1"/>
    <col min="18" max="18" width="5.6640625" customWidth="1"/>
    <col min="19" max="20" width="40.6640625" customWidth="1"/>
    <col min="21" max="24" width="10.6640625" customWidth="1"/>
    <col min="25" max="25" width="19.21875" bestFit="1" customWidth="1"/>
  </cols>
  <sheetData>
    <row r="1" spans="1:38" x14ac:dyDescent="0.3">
      <c r="A1" s="7" t="s">
        <v>3</v>
      </c>
    </row>
    <row r="2" spans="1:38" ht="15" thickBot="1" x14ac:dyDescent="0.35">
      <c r="A2" s="7"/>
    </row>
    <row r="3" spans="1:38" ht="21.6" thickBot="1" x14ac:dyDescent="0.45">
      <c r="A3" s="38" t="s">
        <v>34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40"/>
    </row>
    <row r="4" spans="1:38" x14ac:dyDescent="0.3">
      <c r="A4" s="9"/>
      <c r="I4" s="10"/>
      <c r="J4" s="14"/>
      <c r="K4" s="15"/>
      <c r="L4" s="15"/>
      <c r="M4" s="15"/>
      <c r="N4" s="15"/>
      <c r="O4" s="15"/>
      <c r="P4" s="15"/>
    </row>
    <row r="5" spans="1:38" ht="18" x14ac:dyDescent="0.35">
      <c r="A5" s="2" t="s">
        <v>0</v>
      </c>
      <c r="D5" s="8"/>
      <c r="I5" s="11" t="s">
        <v>12</v>
      </c>
      <c r="J5" s="15"/>
      <c r="K5" s="15"/>
      <c r="L5" s="15"/>
      <c r="M5" s="16"/>
      <c r="N5" s="15"/>
      <c r="O5" s="15"/>
      <c r="P5" s="15"/>
      <c r="R5" s="11" t="s">
        <v>7</v>
      </c>
      <c r="V5" s="8"/>
      <c r="AA5" s="11" t="s">
        <v>76</v>
      </c>
      <c r="AE5" s="8"/>
    </row>
    <row r="6" spans="1:38" x14ac:dyDescent="0.3">
      <c r="A6" t="s">
        <v>186</v>
      </c>
      <c r="I6" t="s">
        <v>188</v>
      </c>
      <c r="J6" s="15"/>
      <c r="K6" s="15"/>
      <c r="L6" s="15"/>
      <c r="M6" s="15"/>
      <c r="N6" s="15"/>
      <c r="O6" s="15"/>
      <c r="P6" s="15"/>
      <c r="R6" t="s">
        <v>8</v>
      </c>
      <c r="AA6" t="s">
        <v>8</v>
      </c>
    </row>
    <row r="7" spans="1:38" x14ac:dyDescent="0.3">
      <c r="I7" s="15"/>
      <c r="J7" s="15"/>
      <c r="K7" s="15"/>
      <c r="L7" s="15"/>
      <c r="M7" s="15"/>
      <c r="N7" s="15"/>
      <c r="O7" s="15"/>
      <c r="P7" s="15"/>
    </row>
    <row r="8" spans="1:38" x14ac:dyDescent="0.3">
      <c r="I8" s="15"/>
      <c r="J8" s="15"/>
      <c r="K8" s="15"/>
      <c r="L8" s="15"/>
      <c r="M8" s="15"/>
      <c r="N8" s="15"/>
      <c r="O8" s="15"/>
      <c r="P8" s="15"/>
    </row>
    <row r="9" spans="1:38" x14ac:dyDescent="0.3">
      <c r="I9" s="15"/>
      <c r="J9" s="15"/>
      <c r="K9" s="15"/>
      <c r="L9" s="15"/>
      <c r="M9" s="15"/>
      <c r="N9" s="15"/>
      <c r="O9" s="15"/>
      <c r="P9" s="15"/>
    </row>
    <row r="10" spans="1:38" x14ac:dyDescent="0.3">
      <c r="I10" s="15"/>
      <c r="J10" s="15"/>
      <c r="K10" s="15"/>
      <c r="L10" s="15"/>
      <c r="M10" s="15"/>
      <c r="N10" s="15"/>
      <c r="O10" s="15"/>
      <c r="P10" s="15"/>
    </row>
    <row r="11" spans="1:38" x14ac:dyDescent="0.3">
      <c r="I11" s="15"/>
      <c r="J11" s="15"/>
      <c r="K11" s="15"/>
      <c r="L11" s="15"/>
      <c r="M11" s="15"/>
      <c r="N11" s="15"/>
      <c r="O11" s="15"/>
      <c r="P11" s="15"/>
    </row>
    <row r="12" spans="1:38" x14ac:dyDescent="0.3">
      <c r="I12" s="15"/>
      <c r="J12" s="15"/>
      <c r="K12" s="15"/>
      <c r="L12" s="15"/>
      <c r="M12" s="15"/>
      <c r="N12" s="15"/>
      <c r="O12" s="15"/>
      <c r="P12" s="15"/>
    </row>
    <row r="13" spans="1:38" x14ac:dyDescent="0.3">
      <c r="I13" s="15"/>
      <c r="J13" s="15"/>
      <c r="K13" s="15"/>
      <c r="L13" s="15"/>
      <c r="M13" s="15"/>
      <c r="N13" s="15"/>
      <c r="O13" s="15"/>
      <c r="P13" s="15"/>
    </row>
    <row r="14" spans="1:38" x14ac:dyDescent="0.3">
      <c r="I14" s="15"/>
      <c r="J14" s="15"/>
      <c r="K14" s="15"/>
      <c r="L14" s="15"/>
      <c r="M14" s="15"/>
      <c r="N14" s="15"/>
      <c r="O14" s="15"/>
      <c r="P14" s="15"/>
    </row>
    <row r="15" spans="1:38" x14ac:dyDescent="0.3">
      <c r="I15" s="15"/>
      <c r="J15" s="15"/>
      <c r="K15" s="15"/>
      <c r="L15" s="15"/>
      <c r="M15" s="15"/>
      <c r="N15" s="15"/>
      <c r="O15" s="15"/>
      <c r="P15" s="15"/>
    </row>
    <row r="16" spans="1:38" x14ac:dyDescent="0.3">
      <c r="I16" s="15"/>
      <c r="J16" s="15"/>
      <c r="K16" s="15"/>
      <c r="L16" s="15"/>
      <c r="M16" s="15"/>
      <c r="N16" s="15"/>
      <c r="O16" s="15"/>
      <c r="P16" s="15"/>
      <c r="R16" s="12"/>
    </row>
    <row r="17" spans="1:26" s="52" customFormat="1" ht="24.45" customHeight="1" x14ac:dyDescent="0.3">
      <c r="A17" s="58" t="s">
        <v>17</v>
      </c>
      <c r="B17" s="58" t="s">
        <v>4</v>
      </c>
      <c r="C17" s="58" t="s">
        <v>5</v>
      </c>
      <c r="D17" s="58" t="s">
        <v>1</v>
      </c>
      <c r="E17" s="58" t="s">
        <v>32</v>
      </c>
      <c r="F17" s="58" t="s">
        <v>13</v>
      </c>
      <c r="G17" s="58" t="s">
        <v>2</v>
      </c>
      <c r="I17" s="60" t="s">
        <v>17</v>
      </c>
      <c r="J17" s="58" t="s">
        <v>14</v>
      </c>
      <c r="K17" s="58" t="s">
        <v>15</v>
      </c>
      <c r="L17" s="58" t="s">
        <v>5</v>
      </c>
      <c r="M17" s="58" t="s">
        <v>1</v>
      </c>
      <c r="N17" s="58" t="s">
        <v>6</v>
      </c>
      <c r="O17" s="58" t="s">
        <v>45</v>
      </c>
      <c r="P17" s="58" t="s">
        <v>13</v>
      </c>
      <c r="Q17" s="37"/>
      <c r="R17" s="60" t="s">
        <v>17</v>
      </c>
      <c r="S17" s="59" t="s">
        <v>9</v>
      </c>
      <c r="T17" s="59" t="s">
        <v>10</v>
      </c>
      <c r="U17" s="59" t="s">
        <v>5</v>
      </c>
      <c r="V17" s="59" t="s">
        <v>1</v>
      </c>
      <c r="W17" s="59" t="s">
        <v>6</v>
      </c>
      <c r="X17" s="59" t="s">
        <v>45</v>
      </c>
      <c r="Y17" s="59" t="s">
        <v>16</v>
      </c>
      <c r="Z17" s="37"/>
    </row>
    <row r="18" spans="1:26" s="1" customFormat="1" x14ac:dyDescent="0.3">
      <c r="A18" s="6" t="s">
        <v>35</v>
      </c>
      <c r="B18" s="17" t="s">
        <v>83</v>
      </c>
      <c r="C18" s="17" t="s">
        <v>95</v>
      </c>
      <c r="D18" s="19">
        <v>1</v>
      </c>
      <c r="E18" s="19">
        <v>1</v>
      </c>
      <c r="F18" s="19">
        <v>4</v>
      </c>
      <c r="G18" s="19" t="s">
        <v>189</v>
      </c>
      <c r="I18" s="6" t="s">
        <v>66</v>
      </c>
      <c r="J18" s="17" t="s">
        <v>160</v>
      </c>
      <c r="K18" s="17" t="s">
        <v>161</v>
      </c>
      <c r="L18" s="17" t="s">
        <v>180</v>
      </c>
      <c r="M18" s="19">
        <v>1</v>
      </c>
      <c r="N18" s="19" t="s">
        <v>130</v>
      </c>
      <c r="O18" s="19" t="s">
        <v>129</v>
      </c>
      <c r="P18" s="19">
        <v>4</v>
      </c>
      <c r="Q18"/>
      <c r="R18" s="3" t="s">
        <v>66</v>
      </c>
      <c r="S18" s="13"/>
      <c r="T18" s="13"/>
      <c r="U18" s="5"/>
      <c r="V18" s="3"/>
      <c r="W18" s="3"/>
      <c r="X18" s="3"/>
      <c r="Y18" s="61">
        <f>'Työaika ryhmä'!I59</f>
        <v>0</v>
      </c>
      <c r="Z18"/>
    </row>
    <row r="19" spans="1:26" s="1" customFormat="1" x14ac:dyDescent="0.3">
      <c r="A19" s="6" t="s">
        <v>36</v>
      </c>
      <c r="B19" s="17" t="s">
        <v>84</v>
      </c>
      <c r="C19" s="17" t="s">
        <v>95</v>
      </c>
      <c r="D19" s="19">
        <v>1</v>
      </c>
      <c r="E19" s="19">
        <v>1</v>
      </c>
      <c r="F19" s="19">
        <v>6</v>
      </c>
      <c r="G19" s="19" t="s">
        <v>189</v>
      </c>
      <c r="I19" s="6" t="s">
        <v>67</v>
      </c>
      <c r="J19" s="17" t="s">
        <v>162</v>
      </c>
      <c r="K19" s="17" t="s">
        <v>163</v>
      </c>
      <c r="L19" s="17" t="s">
        <v>104</v>
      </c>
      <c r="M19" s="19">
        <v>1</v>
      </c>
      <c r="N19" s="19" t="s">
        <v>130</v>
      </c>
      <c r="O19" s="19" t="s">
        <v>132</v>
      </c>
      <c r="P19" s="19">
        <v>6</v>
      </c>
      <c r="Q19"/>
      <c r="R19" s="3" t="s">
        <v>67</v>
      </c>
      <c r="S19" s="13"/>
      <c r="T19" s="13"/>
      <c r="U19" s="5"/>
      <c r="V19" s="3"/>
      <c r="W19" s="3"/>
      <c r="X19" s="3"/>
      <c r="Y19" s="61">
        <f>'Työaika ryhmä'!J59</f>
        <v>0</v>
      </c>
      <c r="Z19"/>
    </row>
    <row r="20" spans="1:26" s="1" customFormat="1" x14ac:dyDescent="0.3">
      <c r="A20" s="6" t="s">
        <v>37</v>
      </c>
      <c r="B20" s="17" t="s">
        <v>110</v>
      </c>
      <c r="C20" s="17" t="s">
        <v>96</v>
      </c>
      <c r="D20" s="19">
        <v>1</v>
      </c>
      <c r="E20" s="19">
        <v>1</v>
      </c>
      <c r="F20" s="19">
        <v>4</v>
      </c>
      <c r="G20" s="19" t="s">
        <v>189</v>
      </c>
      <c r="I20" s="6" t="s">
        <v>68</v>
      </c>
      <c r="J20" s="17" t="s">
        <v>164</v>
      </c>
      <c r="K20" s="17" t="s">
        <v>165</v>
      </c>
      <c r="L20" s="17" t="s">
        <v>104</v>
      </c>
      <c r="M20" s="19">
        <v>1</v>
      </c>
      <c r="N20" s="19" t="s">
        <v>130</v>
      </c>
      <c r="O20" s="19" t="s">
        <v>129</v>
      </c>
      <c r="P20" s="19">
        <v>6</v>
      </c>
      <c r="Q20"/>
      <c r="R20" s="3" t="s">
        <v>68</v>
      </c>
      <c r="S20" s="13"/>
      <c r="T20" s="13"/>
      <c r="U20" s="5"/>
      <c r="V20" s="3"/>
      <c r="W20" s="3"/>
      <c r="X20" s="3"/>
      <c r="Y20" s="61">
        <f>'Työaika ryhmä'!K59</f>
        <v>0</v>
      </c>
      <c r="Z20"/>
    </row>
    <row r="21" spans="1:26" s="1" customFormat="1" x14ac:dyDescent="0.3">
      <c r="A21" s="6" t="s">
        <v>38</v>
      </c>
      <c r="B21" s="17" t="s">
        <v>112</v>
      </c>
      <c r="C21" s="17" t="s">
        <v>96</v>
      </c>
      <c r="D21" s="19">
        <v>1</v>
      </c>
      <c r="E21" s="19">
        <v>1</v>
      </c>
      <c r="F21" s="19">
        <v>10</v>
      </c>
      <c r="G21" s="19" t="s">
        <v>190</v>
      </c>
      <c r="I21" s="6" t="s">
        <v>69</v>
      </c>
      <c r="J21" s="17" t="s">
        <v>166</v>
      </c>
      <c r="K21" s="17" t="s">
        <v>167</v>
      </c>
      <c r="L21" s="17" t="s">
        <v>181</v>
      </c>
      <c r="M21" s="19">
        <v>1</v>
      </c>
      <c r="N21" s="19" t="s">
        <v>157</v>
      </c>
      <c r="O21" s="19" t="s">
        <v>129</v>
      </c>
      <c r="P21" s="19">
        <v>6</v>
      </c>
      <c r="Q21"/>
      <c r="R21" s="3" t="s">
        <v>69</v>
      </c>
      <c r="S21" s="13"/>
      <c r="T21" s="13"/>
      <c r="U21" s="5"/>
      <c r="V21" s="3"/>
      <c r="W21" s="3"/>
      <c r="X21" s="3"/>
      <c r="Y21" s="61">
        <f>'Työaika ryhmä'!L59</f>
        <v>0</v>
      </c>
      <c r="Z21"/>
    </row>
    <row r="22" spans="1:26" s="1" customFormat="1" x14ac:dyDescent="0.3">
      <c r="A22" s="6" t="s">
        <v>39</v>
      </c>
      <c r="B22" s="17" t="s">
        <v>114</v>
      </c>
      <c r="C22" s="17" t="s">
        <v>125</v>
      </c>
      <c r="D22" s="19">
        <v>1</v>
      </c>
      <c r="E22" s="19">
        <v>1</v>
      </c>
      <c r="F22" s="19">
        <v>6</v>
      </c>
      <c r="G22" s="19" t="s">
        <v>202</v>
      </c>
      <c r="I22" s="6" t="s">
        <v>70</v>
      </c>
      <c r="J22" s="17" t="s">
        <v>168</v>
      </c>
      <c r="K22" s="17" t="s">
        <v>169</v>
      </c>
      <c r="L22" s="17" t="s">
        <v>182</v>
      </c>
      <c r="M22" s="19">
        <v>1</v>
      </c>
      <c r="N22" s="19" t="s">
        <v>128</v>
      </c>
      <c r="O22" s="19" t="s">
        <v>130</v>
      </c>
      <c r="P22" s="19">
        <v>6</v>
      </c>
      <c r="Q22"/>
      <c r="R22" s="3" t="s">
        <v>70</v>
      </c>
      <c r="S22" s="13"/>
      <c r="T22" s="13"/>
      <c r="U22" s="5"/>
      <c r="V22" s="3"/>
      <c r="W22" s="3"/>
      <c r="X22" s="3"/>
      <c r="Y22" s="61">
        <f>'Työaika ryhmä'!M59</f>
        <v>0</v>
      </c>
      <c r="Z22"/>
    </row>
    <row r="23" spans="1:26" s="1" customFormat="1" x14ac:dyDescent="0.3">
      <c r="A23" s="6" t="s">
        <v>40</v>
      </c>
      <c r="B23" s="17" t="s">
        <v>116</v>
      </c>
      <c r="C23" s="17" t="s">
        <v>97</v>
      </c>
      <c r="D23" s="19">
        <v>1</v>
      </c>
      <c r="E23" s="19">
        <v>1</v>
      </c>
      <c r="F23" s="19">
        <v>6</v>
      </c>
      <c r="G23" s="19" t="s">
        <v>202</v>
      </c>
      <c r="I23" s="6" t="s">
        <v>71</v>
      </c>
      <c r="J23" s="17" t="s">
        <v>170</v>
      </c>
      <c r="K23" s="17" t="s">
        <v>171</v>
      </c>
      <c r="L23" s="17" t="s">
        <v>105</v>
      </c>
      <c r="M23" s="19">
        <v>2</v>
      </c>
      <c r="N23" s="19" t="s">
        <v>158</v>
      </c>
      <c r="O23" s="19" t="s">
        <v>157</v>
      </c>
      <c r="P23" s="19">
        <v>5</v>
      </c>
      <c r="Q23"/>
      <c r="R23" s="3" t="s">
        <v>71</v>
      </c>
      <c r="S23" s="13"/>
      <c r="T23" s="13"/>
      <c r="U23" s="5"/>
      <c r="V23" s="3"/>
      <c r="W23" s="3"/>
      <c r="X23" s="3"/>
      <c r="Y23" s="61">
        <f>'Työaika ryhmä'!N59</f>
        <v>0</v>
      </c>
      <c r="Z23"/>
    </row>
    <row r="24" spans="1:26" x14ac:dyDescent="0.3">
      <c r="A24" s="6" t="s">
        <v>41</v>
      </c>
      <c r="B24" s="20" t="s">
        <v>118</v>
      </c>
      <c r="C24" s="20" t="s">
        <v>97</v>
      </c>
      <c r="D24" s="19">
        <v>2</v>
      </c>
      <c r="E24" s="19">
        <v>1</v>
      </c>
      <c r="F24" s="19">
        <v>6</v>
      </c>
      <c r="G24" s="19" t="s">
        <v>202</v>
      </c>
      <c r="I24" s="6" t="s">
        <v>72</v>
      </c>
      <c r="J24" s="17" t="s">
        <v>172</v>
      </c>
      <c r="K24" s="17" t="s">
        <v>173</v>
      </c>
      <c r="L24" s="20" t="s">
        <v>101</v>
      </c>
      <c r="M24" s="19">
        <v>2</v>
      </c>
      <c r="N24" s="19" t="s">
        <v>159</v>
      </c>
      <c r="O24" s="19" t="s">
        <v>127</v>
      </c>
      <c r="P24" s="19">
        <v>5</v>
      </c>
      <c r="R24" s="3" t="s">
        <v>72</v>
      </c>
      <c r="S24" s="13"/>
      <c r="T24" s="13"/>
      <c r="U24" s="4"/>
      <c r="V24" s="3"/>
      <c r="W24" s="3"/>
      <c r="X24" s="3"/>
      <c r="Y24" s="61">
        <f>'Työaika ryhmä'!O59</f>
        <v>0</v>
      </c>
    </row>
    <row r="25" spans="1:26" x14ac:dyDescent="0.3">
      <c r="A25" s="6" t="s">
        <v>42</v>
      </c>
      <c r="B25" s="20" t="s">
        <v>85</v>
      </c>
      <c r="C25" s="20" t="s">
        <v>98</v>
      </c>
      <c r="D25" s="19">
        <v>2</v>
      </c>
      <c r="E25" s="19">
        <v>1</v>
      </c>
      <c r="F25" s="19">
        <v>4</v>
      </c>
      <c r="G25" s="19" t="s">
        <v>202</v>
      </c>
      <c r="I25" s="6" t="s">
        <v>73</v>
      </c>
      <c r="J25" s="17" t="s">
        <v>174</v>
      </c>
      <c r="K25" s="17" t="s">
        <v>175</v>
      </c>
      <c r="L25" s="20" t="s">
        <v>98</v>
      </c>
      <c r="M25" s="19">
        <v>1</v>
      </c>
      <c r="N25" s="19" t="s">
        <v>128</v>
      </c>
      <c r="O25" s="19" t="s">
        <v>127</v>
      </c>
      <c r="P25" s="19">
        <v>6</v>
      </c>
      <c r="R25" s="3" t="s">
        <v>73</v>
      </c>
      <c r="S25" s="13"/>
      <c r="T25" s="13"/>
      <c r="U25" s="4"/>
      <c r="V25" s="3"/>
      <c r="W25" s="3"/>
      <c r="X25" s="3"/>
      <c r="Y25" s="61">
        <f>'Työaika ryhmä'!P59</f>
        <v>0</v>
      </c>
    </row>
    <row r="26" spans="1:26" x14ac:dyDescent="0.3">
      <c r="A26" s="6" t="s">
        <v>43</v>
      </c>
      <c r="B26" s="20" t="s">
        <v>121</v>
      </c>
      <c r="C26" s="20" t="s">
        <v>99</v>
      </c>
      <c r="D26" s="19">
        <v>1</v>
      </c>
      <c r="E26" s="19">
        <v>1</v>
      </c>
      <c r="F26" s="19">
        <v>2</v>
      </c>
      <c r="G26" s="19" t="s">
        <v>202</v>
      </c>
      <c r="I26" s="6" t="s">
        <v>74</v>
      </c>
      <c r="J26" s="17" t="s">
        <v>176</v>
      </c>
      <c r="K26" s="17" t="s">
        <v>177</v>
      </c>
      <c r="L26" s="20" t="s">
        <v>126</v>
      </c>
      <c r="M26" s="19">
        <v>2</v>
      </c>
      <c r="N26" s="19" t="s">
        <v>159</v>
      </c>
      <c r="O26" s="19" t="s">
        <v>132</v>
      </c>
      <c r="P26" s="19">
        <v>4</v>
      </c>
      <c r="R26" s="3" t="s">
        <v>74</v>
      </c>
      <c r="S26" s="13"/>
      <c r="T26" s="13"/>
      <c r="U26" s="4"/>
      <c r="V26" s="3"/>
      <c r="W26" s="3"/>
      <c r="X26" s="3"/>
      <c r="Y26" s="61">
        <f>'Työaika ryhmä'!Q59</f>
        <v>0</v>
      </c>
    </row>
    <row r="27" spans="1:26" x14ac:dyDescent="0.3">
      <c r="A27" s="6" t="s">
        <v>44</v>
      </c>
      <c r="B27" s="20" t="s">
        <v>123</v>
      </c>
      <c r="C27" s="20" t="s">
        <v>126</v>
      </c>
      <c r="D27" s="19">
        <v>2</v>
      </c>
      <c r="E27" s="19">
        <v>1</v>
      </c>
      <c r="F27" s="19">
        <v>4</v>
      </c>
      <c r="G27" s="19" t="s">
        <v>202</v>
      </c>
      <c r="I27" s="6" t="s">
        <v>75</v>
      </c>
      <c r="J27" s="17" t="s">
        <v>178</v>
      </c>
      <c r="K27" s="17" t="s">
        <v>179</v>
      </c>
      <c r="L27" s="20" t="s">
        <v>183</v>
      </c>
      <c r="M27" s="19">
        <v>1</v>
      </c>
      <c r="N27" s="19" t="s">
        <v>127</v>
      </c>
      <c r="O27" s="19" t="s">
        <v>132</v>
      </c>
      <c r="P27" s="19">
        <v>4</v>
      </c>
      <c r="R27" s="3" t="s">
        <v>75</v>
      </c>
      <c r="S27" s="13"/>
      <c r="T27" s="13"/>
      <c r="U27" s="4"/>
      <c r="V27" s="3"/>
      <c r="W27" s="3"/>
      <c r="X27" s="3"/>
      <c r="Y27" s="61">
        <f>'Työaika ryhmä'!R59</f>
        <v>0</v>
      </c>
    </row>
    <row r="28" spans="1:26" x14ac:dyDescent="0.3">
      <c r="A28" s="6" t="s">
        <v>86</v>
      </c>
      <c r="B28" s="17" t="s">
        <v>136</v>
      </c>
      <c r="C28" s="17" t="s">
        <v>100</v>
      </c>
      <c r="D28" s="19">
        <v>1</v>
      </c>
      <c r="E28" s="19">
        <v>2</v>
      </c>
      <c r="F28" s="19">
        <v>6</v>
      </c>
      <c r="G28" s="19" t="s">
        <v>202</v>
      </c>
      <c r="I28" s="21"/>
      <c r="J28" s="15"/>
      <c r="K28" s="15"/>
      <c r="L28" s="15"/>
      <c r="M28" s="15"/>
      <c r="N28" s="15"/>
      <c r="O28" s="15"/>
      <c r="P28" s="22">
        <f>SUM(P18:P27)</f>
        <v>52</v>
      </c>
      <c r="R28" s="12"/>
      <c r="Y28" s="61">
        <f>'Työaika ryhmä'!S59</f>
        <v>0</v>
      </c>
    </row>
    <row r="29" spans="1:26" x14ac:dyDescent="0.3">
      <c r="A29" s="6" t="s">
        <v>87</v>
      </c>
      <c r="B29" s="17" t="s">
        <v>138</v>
      </c>
      <c r="C29" s="17" t="s">
        <v>100</v>
      </c>
      <c r="D29" s="19">
        <v>1</v>
      </c>
      <c r="E29" s="19">
        <v>2</v>
      </c>
      <c r="F29" s="19">
        <v>8</v>
      </c>
      <c r="G29" s="19" t="s">
        <v>202</v>
      </c>
    </row>
    <row r="30" spans="1:26" x14ac:dyDescent="0.3">
      <c r="A30" s="6" t="s">
        <v>88</v>
      </c>
      <c r="B30" s="17" t="s">
        <v>140</v>
      </c>
      <c r="C30" s="17" t="s">
        <v>100</v>
      </c>
      <c r="D30" s="19">
        <v>1</v>
      </c>
      <c r="E30" s="19">
        <v>2</v>
      </c>
      <c r="F30" s="19">
        <v>8</v>
      </c>
      <c r="G30" s="19" t="s">
        <v>202</v>
      </c>
    </row>
    <row r="31" spans="1:26" x14ac:dyDescent="0.3">
      <c r="A31" s="6" t="s">
        <v>89</v>
      </c>
      <c r="B31" s="17" t="s">
        <v>142</v>
      </c>
      <c r="C31" s="17" t="s">
        <v>156</v>
      </c>
      <c r="D31" s="19">
        <v>1</v>
      </c>
      <c r="E31" s="19">
        <v>2</v>
      </c>
      <c r="F31" s="19">
        <v>6</v>
      </c>
      <c r="G31" s="19" t="s">
        <v>202</v>
      </c>
    </row>
    <row r="32" spans="1:26" x14ac:dyDescent="0.3">
      <c r="A32" s="6" t="s">
        <v>90</v>
      </c>
      <c r="B32" s="17" t="s">
        <v>144</v>
      </c>
      <c r="C32" s="17" t="s">
        <v>102</v>
      </c>
      <c r="D32" s="19">
        <v>2</v>
      </c>
      <c r="E32" s="19">
        <v>2</v>
      </c>
      <c r="F32" s="19">
        <v>6</v>
      </c>
      <c r="G32" s="19" t="s">
        <v>202</v>
      </c>
    </row>
    <row r="33" spans="1:7" x14ac:dyDescent="0.3">
      <c r="A33" s="6" t="s">
        <v>91</v>
      </c>
      <c r="B33" s="17" t="s">
        <v>146</v>
      </c>
      <c r="C33" s="17" t="s">
        <v>101</v>
      </c>
      <c r="D33" s="19">
        <v>2</v>
      </c>
      <c r="E33" s="19">
        <v>2</v>
      </c>
      <c r="F33" s="19">
        <v>6</v>
      </c>
      <c r="G33" s="19" t="s">
        <v>202</v>
      </c>
    </row>
    <row r="34" spans="1:7" x14ac:dyDescent="0.3">
      <c r="A34" s="6" t="s">
        <v>92</v>
      </c>
      <c r="B34" s="17" t="s">
        <v>148</v>
      </c>
      <c r="C34" s="20" t="s">
        <v>101</v>
      </c>
      <c r="D34" s="19">
        <v>2</v>
      </c>
      <c r="E34" s="19">
        <v>2</v>
      </c>
      <c r="F34" s="19">
        <v>6</v>
      </c>
      <c r="G34" s="19" t="s">
        <v>202</v>
      </c>
    </row>
    <row r="35" spans="1:7" x14ac:dyDescent="0.3">
      <c r="A35" s="6" t="s">
        <v>93</v>
      </c>
      <c r="B35" s="17" t="s">
        <v>150</v>
      </c>
      <c r="C35" s="20" t="s">
        <v>104</v>
      </c>
      <c r="D35" s="19">
        <v>1</v>
      </c>
      <c r="E35" s="19">
        <v>2</v>
      </c>
      <c r="F35" s="19">
        <v>6</v>
      </c>
      <c r="G35" s="19" t="s">
        <v>202</v>
      </c>
    </row>
    <row r="36" spans="1:7" x14ac:dyDescent="0.3">
      <c r="A36" s="6" t="s">
        <v>94</v>
      </c>
      <c r="B36" s="17" t="s">
        <v>152</v>
      </c>
      <c r="C36" s="20" t="s">
        <v>103</v>
      </c>
      <c r="D36" s="19">
        <v>2</v>
      </c>
      <c r="E36" s="19">
        <v>2</v>
      </c>
      <c r="F36" s="19">
        <v>4</v>
      </c>
      <c r="G36" s="19" t="s">
        <v>202</v>
      </c>
    </row>
    <row r="37" spans="1:7" x14ac:dyDescent="0.3">
      <c r="A37" s="6" t="s">
        <v>191</v>
      </c>
      <c r="B37" s="17" t="s">
        <v>154</v>
      </c>
      <c r="C37" s="20" t="s">
        <v>106</v>
      </c>
      <c r="D37" s="19">
        <v>2</v>
      </c>
      <c r="E37" s="19">
        <v>2</v>
      </c>
      <c r="F37" s="19">
        <v>2</v>
      </c>
      <c r="G37" s="19" t="s">
        <v>202</v>
      </c>
    </row>
    <row r="38" spans="1:7" x14ac:dyDescent="0.3">
      <c r="A38" s="6" t="s">
        <v>192</v>
      </c>
      <c r="B38" s="18" t="s">
        <v>160</v>
      </c>
      <c r="C38" s="18" t="s">
        <v>180</v>
      </c>
      <c r="D38" s="77">
        <v>1</v>
      </c>
      <c r="E38" s="77">
        <v>3</v>
      </c>
      <c r="F38" s="77">
        <v>4</v>
      </c>
      <c r="G38" s="77" t="s">
        <v>202</v>
      </c>
    </row>
    <row r="39" spans="1:7" x14ac:dyDescent="0.3">
      <c r="A39" s="6" t="s">
        <v>193</v>
      </c>
      <c r="B39" s="18" t="s">
        <v>162</v>
      </c>
      <c r="C39" s="18" t="s">
        <v>104</v>
      </c>
      <c r="D39" s="77">
        <v>1</v>
      </c>
      <c r="E39" s="77">
        <v>3</v>
      </c>
      <c r="F39" s="77">
        <v>6</v>
      </c>
      <c r="G39" s="77" t="s">
        <v>202</v>
      </c>
    </row>
    <row r="40" spans="1:7" x14ac:dyDescent="0.3">
      <c r="A40" s="6" t="s">
        <v>194</v>
      </c>
      <c r="B40" s="18" t="s">
        <v>164</v>
      </c>
      <c r="C40" s="18" t="s">
        <v>104</v>
      </c>
      <c r="D40" s="77">
        <v>1</v>
      </c>
      <c r="E40" s="77">
        <v>3</v>
      </c>
      <c r="F40" s="77">
        <v>6</v>
      </c>
      <c r="G40" s="77" t="s">
        <v>202</v>
      </c>
    </row>
    <row r="41" spans="1:7" x14ac:dyDescent="0.3">
      <c r="A41" s="6" t="s">
        <v>195</v>
      </c>
      <c r="B41" s="18" t="s">
        <v>166</v>
      </c>
      <c r="C41" s="18" t="s">
        <v>181</v>
      </c>
      <c r="D41" s="77">
        <v>1</v>
      </c>
      <c r="E41" s="77">
        <v>3</v>
      </c>
      <c r="F41" s="77">
        <v>6</v>
      </c>
      <c r="G41" s="77" t="s">
        <v>202</v>
      </c>
    </row>
    <row r="42" spans="1:7" x14ac:dyDescent="0.3">
      <c r="A42" s="6" t="s">
        <v>196</v>
      </c>
      <c r="B42" s="18" t="s">
        <v>168</v>
      </c>
      <c r="C42" s="18" t="s">
        <v>182</v>
      </c>
      <c r="D42" s="77">
        <v>1</v>
      </c>
      <c r="E42" s="77">
        <v>3</v>
      </c>
      <c r="F42" s="77">
        <v>6</v>
      </c>
      <c r="G42" s="77" t="s">
        <v>202</v>
      </c>
    </row>
    <row r="43" spans="1:7" x14ac:dyDescent="0.3">
      <c r="A43" s="6" t="s">
        <v>197</v>
      </c>
      <c r="B43" s="18" t="s">
        <v>170</v>
      </c>
      <c r="C43" s="18" t="s">
        <v>105</v>
      </c>
      <c r="D43" s="77">
        <v>2</v>
      </c>
      <c r="E43" s="77">
        <v>3</v>
      </c>
      <c r="F43" s="77">
        <v>5</v>
      </c>
      <c r="G43" s="77" t="s">
        <v>202</v>
      </c>
    </row>
    <row r="44" spans="1:7" x14ac:dyDescent="0.3">
      <c r="A44" s="6" t="s">
        <v>198</v>
      </c>
      <c r="B44" s="18" t="s">
        <v>172</v>
      </c>
      <c r="C44" s="78" t="s">
        <v>101</v>
      </c>
      <c r="D44" s="77">
        <v>2</v>
      </c>
      <c r="E44" s="77">
        <v>3</v>
      </c>
      <c r="F44" s="77">
        <v>5</v>
      </c>
      <c r="G44" s="77" t="s">
        <v>202</v>
      </c>
    </row>
    <row r="45" spans="1:7" x14ac:dyDescent="0.3">
      <c r="A45" s="6" t="s">
        <v>199</v>
      </c>
      <c r="B45" s="18" t="s">
        <v>174</v>
      </c>
      <c r="C45" s="78" t="s">
        <v>98</v>
      </c>
      <c r="D45" s="77">
        <v>1</v>
      </c>
      <c r="E45" s="77">
        <v>3</v>
      </c>
      <c r="F45" s="77">
        <v>6</v>
      </c>
      <c r="G45" s="77" t="s">
        <v>202</v>
      </c>
    </row>
    <row r="46" spans="1:7" x14ac:dyDescent="0.3">
      <c r="A46" s="6" t="s">
        <v>200</v>
      </c>
      <c r="B46" s="18" t="s">
        <v>176</v>
      </c>
      <c r="C46" s="78" t="s">
        <v>126</v>
      </c>
      <c r="D46" s="77">
        <v>2</v>
      </c>
      <c r="E46" s="77">
        <v>3</v>
      </c>
      <c r="F46" s="77">
        <v>4</v>
      </c>
      <c r="G46" s="77" t="s">
        <v>202</v>
      </c>
    </row>
    <row r="47" spans="1:7" x14ac:dyDescent="0.3">
      <c r="A47" s="6" t="s">
        <v>201</v>
      </c>
      <c r="B47" s="18" t="s">
        <v>178</v>
      </c>
      <c r="C47" s="78" t="s">
        <v>183</v>
      </c>
      <c r="D47" s="77">
        <v>1</v>
      </c>
      <c r="E47" s="77">
        <v>3</v>
      </c>
      <c r="F47" s="77">
        <v>4</v>
      </c>
      <c r="G47" s="77" t="s">
        <v>202</v>
      </c>
    </row>
    <row r="49" spans="6:9" x14ac:dyDescent="0.3">
      <c r="F49" s="9">
        <f>SUM(F18:F47)</f>
        <v>162</v>
      </c>
    </row>
    <row r="61" spans="6:9" x14ac:dyDescent="0.3">
      <c r="I61" s="12"/>
    </row>
  </sheetData>
  <phoneticPr fontId="13" type="noConversion"/>
  <pageMargins left="0.7" right="0.7" top="0.75" bottom="0.75" header="0.3" footer="0.3"/>
  <pageSetup paperSize="9" orientation="landscape" verticalDpi="0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AEE28-9134-4441-8323-9B973E88ABA6}">
  <dimension ref="A1:S60"/>
  <sheetViews>
    <sheetView zoomScale="86" workbookViewId="0">
      <selection activeCell="I6" sqref="I6"/>
    </sheetView>
  </sheetViews>
  <sheetFormatPr defaultRowHeight="14.4" x14ac:dyDescent="0.3"/>
  <cols>
    <col min="1" max="1" width="35.77734375" style="28" customWidth="1"/>
    <col min="2" max="6" width="12.6640625" style="27" customWidth="1"/>
    <col min="8" max="8" width="35.77734375" customWidth="1"/>
    <col min="9" max="18" width="5.6640625" customWidth="1"/>
    <col min="19" max="19" width="12.6640625" customWidth="1"/>
  </cols>
  <sheetData>
    <row r="1" spans="1:19" ht="14.55" customHeight="1" x14ac:dyDescent="0.3">
      <c r="A1" s="7" t="s">
        <v>80</v>
      </c>
    </row>
    <row r="2" spans="1:19" ht="14.55" customHeight="1" x14ac:dyDescent="0.3">
      <c r="A2" s="75"/>
    </row>
    <row r="3" spans="1:19" ht="14.55" customHeight="1" x14ac:dyDescent="0.3">
      <c r="A3" s="35" t="s">
        <v>78</v>
      </c>
      <c r="G3" s="27"/>
      <c r="H3" s="35" t="s">
        <v>79</v>
      </c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</row>
    <row r="5" spans="1:19" s="1" customFormat="1" ht="14.55" customHeight="1" x14ac:dyDescent="0.3">
      <c r="A5" s="64" t="s">
        <v>24</v>
      </c>
      <c r="B5" s="65" t="s">
        <v>25</v>
      </c>
      <c r="C5" s="65" t="s">
        <v>26</v>
      </c>
      <c r="D5" s="65" t="s">
        <v>27</v>
      </c>
      <c r="E5" s="65" t="s">
        <v>28</v>
      </c>
      <c r="F5" s="65" t="s">
        <v>11</v>
      </c>
      <c r="H5" s="64" t="s">
        <v>24</v>
      </c>
      <c r="I5" s="65" t="s">
        <v>46</v>
      </c>
      <c r="J5" s="65" t="s">
        <v>47</v>
      </c>
      <c r="K5" s="65" t="s">
        <v>48</v>
      </c>
      <c r="L5" s="65" t="s">
        <v>49</v>
      </c>
      <c r="M5" s="65" t="s">
        <v>50</v>
      </c>
      <c r="N5" s="65" t="s">
        <v>51</v>
      </c>
      <c r="O5" s="65" t="s">
        <v>52</v>
      </c>
      <c r="P5" s="65" t="s">
        <v>53</v>
      </c>
      <c r="Q5" s="65" t="s">
        <v>54</v>
      </c>
      <c r="R5" s="65" t="s">
        <v>55</v>
      </c>
      <c r="S5" s="65" t="s">
        <v>11</v>
      </c>
    </row>
    <row r="6" spans="1:19" ht="14.55" customHeight="1" x14ac:dyDescent="0.3">
      <c r="A6" s="30">
        <v>45957</v>
      </c>
      <c r="B6" s="3">
        <f>'Työaika jäsen 1'!B8</f>
        <v>5</v>
      </c>
      <c r="C6" s="3">
        <v>0</v>
      </c>
      <c r="D6" s="3">
        <v>0</v>
      </c>
      <c r="E6" s="3">
        <f>'Työaika jäsen 4'!B8</f>
        <v>0</v>
      </c>
      <c r="F6" s="3">
        <f>SUM(B6:E6)</f>
        <v>5</v>
      </c>
      <c r="H6" s="30">
        <v>45957</v>
      </c>
      <c r="I6" s="3">
        <f>'Työaika jäsen 1'!C8+'Työaika jäsen 2'!C8+'Työaika jäsen 3'!C8+'Työaika jäsen 4'!C8</f>
        <v>1</v>
      </c>
      <c r="J6" s="3">
        <f>'Työaika jäsen 1'!D8+'Työaika jäsen 2'!D8+'Työaika jäsen 3'!D8+'Työaika jäsen 4'!D8</f>
        <v>1</v>
      </c>
      <c r="K6" s="3">
        <f>'Työaika jäsen 1'!E8+'Työaika jäsen 2'!E8+'Työaika jäsen 3'!E8+'Työaika jäsen 4'!E8</f>
        <v>1</v>
      </c>
      <c r="L6" s="3">
        <f>'Työaika jäsen 1'!F8+'Työaika jäsen 2'!F8+'Työaika jäsen 3'!F8+'Työaika jäsen 4'!F8</f>
        <v>2</v>
      </c>
      <c r="M6" s="3">
        <f>'Työaika jäsen 1'!G8+'Työaika jäsen 2'!G8+'Työaika jäsen 3'!G8+'Työaika jäsen 4'!G8</f>
        <v>0</v>
      </c>
      <c r="N6" s="3">
        <f>'Työaika jäsen 1'!H8+'Työaika jäsen 2'!H8+'Työaika jäsen 3'!H8+'Työaika jäsen 4'!H8</f>
        <v>0</v>
      </c>
      <c r="O6" s="3">
        <f>'Työaika jäsen 1'!I8+'Työaika jäsen 2'!I8+'Työaika jäsen 3'!I8+'Työaika jäsen 4'!I8</f>
        <v>0</v>
      </c>
      <c r="P6" s="3">
        <f>'Työaika jäsen 1'!J8+'Työaika jäsen 2'!J8+'Työaika jäsen 3'!J8+'Työaika jäsen 4'!J8</f>
        <v>0</v>
      </c>
      <c r="Q6" s="3">
        <f>'Työaika jäsen 1'!K8+'Työaika jäsen 2'!K8+'Työaika jäsen 3'!K8+'Työaika jäsen 4'!K8</f>
        <v>0</v>
      </c>
      <c r="R6" s="3">
        <f>'Työaika jäsen 1'!L8+'Työaika jäsen 2'!L8+'Työaika jäsen 3'!L8+'Työaika jäsen 4'!L8</f>
        <v>0</v>
      </c>
      <c r="S6" s="6">
        <f>SUM(I6:R6)</f>
        <v>5</v>
      </c>
    </row>
    <row r="7" spans="1:19" ht="14.55" customHeight="1" x14ac:dyDescent="0.3">
      <c r="A7" s="30">
        <v>45958</v>
      </c>
      <c r="B7" s="3">
        <f>'Työaika jäsen 1'!B9</f>
        <v>0</v>
      </c>
      <c r="C7" s="3">
        <f>'Työaika jäsen 2'!B9</f>
        <v>0</v>
      </c>
      <c r="D7" s="3">
        <f>'Työaika jäsen 3'!B9</f>
        <v>0</v>
      </c>
      <c r="E7" s="3">
        <f>'Työaika jäsen 4'!B9</f>
        <v>0</v>
      </c>
      <c r="F7" s="3">
        <f t="shared" ref="F7:F20" si="0">SUM(B7:E7)</f>
        <v>0</v>
      </c>
      <c r="H7" s="30">
        <v>45958</v>
      </c>
      <c r="I7" s="3">
        <f>'Työaika jäsen 1'!C9+'Työaika jäsen 2'!C9+'Työaika jäsen 3'!C9+'Työaika jäsen 4'!C9</f>
        <v>0</v>
      </c>
      <c r="J7" s="3">
        <f>'Työaika jäsen 1'!D9+'Työaika jäsen 2'!D9+'Työaika jäsen 3'!D9+'Työaika jäsen 4'!D9</f>
        <v>0</v>
      </c>
      <c r="K7" s="3">
        <f>'Työaika jäsen 1'!E9+'Työaika jäsen 2'!E9+'Työaika jäsen 3'!E9+'Työaika jäsen 4'!E9</f>
        <v>0</v>
      </c>
      <c r="L7" s="3">
        <f>'Työaika jäsen 1'!F9+'Työaika jäsen 2'!F9+'Työaika jäsen 3'!F9+'Työaika jäsen 4'!F9</f>
        <v>0</v>
      </c>
      <c r="M7" s="3">
        <f>'Työaika jäsen 1'!G9+'Työaika jäsen 2'!G9+'Työaika jäsen 3'!G9+'Työaika jäsen 4'!G9</f>
        <v>0</v>
      </c>
      <c r="N7" s="3">
        <f>'Työaika jäsen 1'!H9+'Työaika jäsen 2'!H9+'Työaika jäsen 3'!H9+'Työaika jäsen 4'!H9</f>
        <v>0</v>
      </c>
      <c r="O7" s="3">
        <f>'Työaika jäsen 1'!I9+'Työaika jäsen 2'!I9+'Työaika jäsen 3'!I9+'Työaika jäsen 4'!I9</f>
        <v>0</v>
      </c>
      <c r="P7" s="3">
        <f>'Työaika jäsen 1'!J9+'Työaika jäsen 2'!J9+'Työaika jäsen 3'!J9+'Työaika jäsen 4'!J9</f>
        <v>0</v>
      </c>
      <c r="Q7" s="3">
        <f>'Työaika jäsen 1'!K9+'Työaika jäsen 2'!K9+'Työaika jäsen 3'!K9+'Työaika jäsen 4'!K9</f>
        <v>0</v>
      </c>
      <c r="R7" s="3">
        <f>'Työaika jäsen 1'!L9+'Työaika jäsen 2'!L9+'Työaika jäsen 3'!L9+'Työaika jäsen 4'!L9</f>
        <v>0</v>
      </c>
      <c r="S7" s="6">
        <f t="shared" ref="S7:S20" si="1">SUM(I7:R7)</f>
        <v>0</v>
      </c>
    </row>
    <row r="8" spans="1:19" ht="14.55" customHeight="1" x14ac:dyDescent="0.3">
      <c r="A8" s="30">
        <v>45959</v>
      </c>
      <c r="B8" s="3">
        <f>'Työaika jäsen 1'!B10</f>
        <v>0</v>
      </c>
      <c r="C8" s="3">
        <f>'Työaika jäsen 2'!B10</f>
        <v>0</v>
      </c>
      <c r="D8" s="3">
        <f>'Työaika jäsen 3'!B10</f>
        <v>0</v>
      </c>
      <c r="E8" s="3">
        <f>'Työaika jäsen 4'!B10</f>
        <v>0</v>
      </c>
      <c r="F8" s="3">
        <f t="shared" si="0"/>
        <v>0</v>
      </c>
      <c r="H8" s="30">
        <v>45959</v>
      </c>
      <c r="I8" s="3">
        <f>'Työaika jäsen 1'!C10+'Työaika jäsen 2'!C10+'Työaika jäsen 3'!C10+'Työaika jäsen 4'!C10</f>
        <v>0</v>
      </c>
      <c r="J8" s="3">
        <f>'Työaika jäsen 1'!D10+'Työaika jäsen 2'!D10+'Työaika jäsen 3'!D10+'Työaika jäsen 4'!D10</f>
        <v>0</v>
      </c>
      <c r="K8" s="3">
        <f>'Työaika jäsen 1'!E10+'Työaika jäsen 2'!E10+'Työaika jäsen 3'!E10+'Työaika jäsen 4'!E10</f>
        <v>0</v>
      </c>
      <c r="L8" s="3">
        <f>'Työaika jäsen 1'!F10+'Työaika jäsen 2'!F10+'Työaika jäsen 3'!F10+'Työaika jäsen 4'!F10</f>
        <v>0</v>
      </c>
      <c r="M8" s="3">
        <f>'Työaika jäsen 1'!G10+'Työaika jäsen 2'!G10+'Työaika jäsen 3'!G10+'Työaika jäsen 4'!G10</f>
        <v>0</v>
      </c>
      <c r="N8" s="3">
        <f>'Työaika jäsen 1'!H10+'Työaika jäsen 2'!H10+'Työaika jäsen 3'!H10+'Työaika jäsen 4'!H10</f>
        <v>0</v>
      </c>
      <c r="O8" s="3">
        <f>'Työaika jäsen 1'!I10+'Työaika jäsen 2'!I10+'Työaika jäsen 3'!I10+'Työaika jäsen 4'!I10</f>
        <v>0</v>
      </c>
      <c r="P8" s="3">
        <f>'Työaika jäsen 1'!J10+'Työaika jäsen 2'!J10+'Työaika jäsen 3'!J10+'Työaika jäsen 4'!J10</f>
        <v>0</v>
      </c>
      <c r="Q8" s="3">
        <f>'Työaika jäsen 1'!K10+'Työaika jäsen 2'!K10+'Työaika jäsen 3'!K10+'Työaika jäsen 4'!K10</f>
        <v>0</v>
      </c>
      <c r="R8" s="3">
        <f>'Työaika jäsen 1'!L10+'Työaika jäsen 2'!L10+'Työaika jäsen 3'!L10+'Työaika jäsen 4'!L10</f>
        <v>0</v>
      </c>
      <c r="S8" s="6">
        <f t="shared" si="1"/>
        <v>0</v>
      </c>
    </row>
    <row r="9" spans="1:19" ht="14.55" customHeight="1" x14ac:dyDescent="0.3">
      <c r="A9" s="30">
        <v>45960</v>
      </c>
      <c r="B9" s="3">
        <f>'Työaika jäsen 1'!B11</f>
        <v>0</v>
      </c>
      <c r="C9" s="3">
        <f>'Työaika jäsen 2'!B11</f>
        <v>0</v>
      </c>
      <c r="D9" s="3">
        <f>'Työaika jäsen 3'!B11</f>
        <v>0</v>
      </c>
      <c r="E9" s="3">
        <f>'Työaika jäsen 4'!B11</f>
        <v>0</v>
      </c>
      <c r="F9" s="3">
        <f t="shared" si="0"/>
        <v>0</v>
      </c>
      <c r="H9" s="30">
        <v>45960</v>
      </c>
      <c r="I9" s="3">
        <f>'Työaika jäsen 1'!C11+'Työaika jäsen 2'!C11+'Työaika jäsen 3'!C11+'Työaika jäsen 4'!C11</f>
        <v>0</v>
      </c>
      <c r="J9" s="3">
        <f>'Työaika jäsen 1'!D11+'Työaika jäsen 2'!D11+'Työaika jäsen 3'!D11+'Työaika jäsen 4'!D11</f>
        <v>0</v>
      </c>
      <c r="K9" s="3">
        <f>'Työaika jäsen 1'!E11+'Työaika jäsen 2'!E11+'Työaika jäsen 3'!E11+'Työaika jäsen 4'!E11</f>
        <v>0</v>
      </c>
      <c r="L9" s="3">
        <f>'Työaika jäsen 1'!F11+'Työaika jäsen 2'!F11+'Työaika jäsen 3'!F11+'Työaika jäsen 4'!F11</f>
        <v>0</v>
      </c>
      <c r="M9" s="3">
        <f>'Työaika jäsen 1'!G11+'Työaika jäsen 2'!G11+'Työaika jäsen 3'!G11+'Työaika jäsen 4'!G11</f>
        <v>0</v>
      </c>
      <c r="N9" s="3">
        <f>'Työaika jäsen 1'!H11+'Työaika jäsen 2'!H11+'Työaika jäsen 3'!H11+'Työaika jäsen 4'!H11</f>
        <v>0</v>
      </c>
      <c r="O9" s="3">
        <f>'Työaika jäsen 1'!I11+'Työaika jäsen 2'!I11+'Työaika jäsen 3'!I11+'Työaika jäsen 4'!I11</f>
        <v>0</v>
      </c>
      <c r="P9" s="3">
        <f>'Työaika jäsen 1'!J11+'Työaika jäsen 2'!J11+'Työaika jäsen 3'!J11+'Työaika jäsen 4'!J11</f>
        <v>0</v>
      </c>
      <c r="Q9" s="3">
        <f>'Työaika jäsen 1'!K11+'Työaika jäsen 2'!K11+'Työaika jäsen 3'!K11+'Työaika jäsen 4'!K11</f>
        <v>0</v>
      </c>
      <c r="R9" s="3">
        <f>'Työaika jäsen 1'!L11+'Työaika jäsen 2'!L11+'Työaika jäsen 3'!L11+'Työaika jäsen 4'!L11</f>
        <v>0</v>
      </c>
      <c r="S9" s="6">
        <f t="shared" si="1"/>
        <v>0</v>
      </c>
    </row>
    <row r="10" spans="1:19" ht="14.55" customHeight="1" x14ac:dyDescent="0.3">
      <c r="A10" s="30">
        <v>45961</v>
      </c>
      <c r="B10" s="3">
        <f>'Työaika jäsen 1'!B12</f>
        <v>0</v>
      </c>
      <c r="C10" s="3">
        <f>'Työaika jäsen 2'!B12</f>
        <v>0</v>
      </c>
      <c r="D10" s="3">
        <f>'Työaika jäsen 3'!B12</f>
        <v>0</v>
      </c>
      <c r="E10" s="3">
        <f>'Työaika jäsen 4'!B12</f>
        <v>0</v>
      </c>
      <c r="F10" s="3">
        <f t="shared" si="0"/>
        <v>0</v>
      </c>
      <c r="H10" s="30">
        <v>45961</v>
      </c>
      <c r="I10" s="3">
        <f>'Työaika jäsen 1'!C12+'Työaika jäsen 2'!C12+'Työaika jäsen 3'!C12+'Työaika jäsen 4'!C12</f>
        <v>0</v>
      </c>
      <c r="J10" s="3">
        <f>'Työaika jäsen 1'!D12+'Työaika jäsen 2'!D12+'Työaika jäsen 3'!D12+'Työaika jäsen 4'!D12</f>
        <v>0</v>
      </c>
      <c r="K10" s="3">
        <f>'Työaika jäsen 1'!E12+'Työaika jäsen 2'!E12+'Työaika jäsen 3'!E12+'Työaika jäsen 4'!E12</f>
        <v>0</v>
      </c>
      <c r="L10" s="3">
        <f>'Työaika jäsen 1'!F12+'Työaika jäsen 2'!F12+'Työaika jäsen 3'!F12+'Työaika jäsen 4'!F12</f>
        <v>0</v>
      </c>
      <c r="M10" s="3">
        <f>'Työaika jäsen 1'!G12+'Työaika jäsen 2'!G12+'Työaika jäsen 3'!G12+'Työaika jäsen 4'!G12</f>
        <v>0</v>
      </c>
      <c r="N10" s="3">
        <f>'Työaika jäsen 1'!H12+'Työaika jäsen 2'!H12+'Työaika jäsen 3'!H12+'Työaika jäsen 4'!H12</f>
        <v>0</v>
      </c>
      <c r="O10" s="3">
        <f>'Työaika jäsen 1'!I12+'Työaika jäsen 2'!I12+'Työaika jäsen 3'!I12+'Työaika jäsen 4'!I12</f>
        <v>0</v>
      </c>
      <c r="P10" s="3">
        <f>'Työaika jäsen 1'!J12+'Työaika jäsen 2'!J12+'Työaika jäsen 3'!J12+'Työaika jäsen 4'!J12</f>
        <v>0</v>
      </c>
      <c r="Q10" s="3">
        <f>'Työaika jäsen 1'!K12+'Työaika jäsen 2'!K12+'Työaika jäsen 3'!K12+'Työaika jäsen 4'!K12</f>
        <v>0</v>
      </c>
      <c r="R10" s="3">
        <f>'Työaika jäsen 1'!L12+'Työaika jäsen 2'!L12+'Työaika jäsen 3'!L12+'Työaika jäsen 4'!L12</f>
        <v>0</v>
      </c>
      <c r="S10" s="6">
        <f t="shared" si="1"/>
        <v>0</v>
      </c>
    </row>
    <row r="11" spans="1:19" ht="14.55" customHeight="1" x14ac:dyDescent="0.3">
      <c r="A11" s="30">
        <v>45962</v>
      </c>
      <c r="B11" s="3">
        <f>'Työaika jäsen 1'!B13</f>
        <v>0</v>
      </c>
      <c r="C11" s="3">
        <f>'Työaika jäsen 2'!B13</f>
        <v>0</v>
      </c>
      <c r="D11" s="3">
        <f>'Työaika jäsen 3'!B13</f>
        <v>0</v>
      </c>
      <c r="E11" s="3">
        <f>'Työaika jäsen 4'!B13</f>
        <v>0</v>
      </c>
      <c r="F11" s="3">
        <f t="shared" si="0"/>
        <v>0</v>
      </c>
      <c r="H11" s="30">
        <v>45962</v>
      </c>
      <c r="I11" s="3">
        <f>'Työaika jäsen 1'!C13+'Työaika jäsen 2'!C13+'Työaika jäsen 3'!C13+'Työaika jäsen 4'!C13</f>
        <v>0</v>
      </c>
      <c r="J11" s="3">
        <f>'Työaika jäsen 1'!D13+'Työaika jäsen 2'!D13+'Työaika jäsen 3'!D13+'Työaika jäsen 4'!D13</f>
        <v>0</v>
      </c>
      <c r="K11" s="3">
        <f>'Työaika jäsen 1'!E13+'Työaika jäsen 2'!E13+'Työaika jäsen 3'!E13+'Työaika jäsen 4'!E13</f>
        <v>0</v>
      </c>
      <c r="L11" s="3">
        <f>'Työaika jäsen 1'!F13+'Työaika jäsen 2'!F13+'Työaika jäsen 3'!F13+'Työaika jäsen 4'!F13</f>
        <v>0</v>
      </c>
      <c r="M11" s="3">
        <f>'Työaika jäsen 1'!G13+'Työaika jäsen 2'!G13+'Työaika jäsen 3'!G13+'Työaika jäsen 4'!G13</f>
        <v>0</v>
      </c>
      <c r="N11" s="3">
        <f>'Työaika jäsen 1'!H13+'Työaika jäsen 2'!H13+'Työaika jäsen 3'!H13+'Työaika jäsen 4'!H13</f>
        <v>0</v>
      </c>
      <c r="O11" s="3">
        <f>'Työaika jäsen 1'!I13+'Työaika jäsen 2'!I13+'Työaika jäsen 3'!I13+'Työaika jäsen 4'!I13</f>
        <v>0</v>
      </c>
      <c r="P11" s="3">
        <f>'Työaika jäsen 1'!J13+'Työaika jäsen 2'!J13+'Työaika jäsen 3'!J13+'Työaika jäsen 4'!J13</f>
        <v>0</v>
      </c>
      <c r="Q11" s="3">
        <f>'Työaika jäsen 1'!K13+'Työaika jäsen 2'!K13+'Työaika jäsen 3'!K13+'Työaika jäsen 4'!K13</f>
        <v>0</v>
      </c>
      <c r="R11" s="3">
        <f>'Työaika jäsen 1'!L13+'Työaika jäsen 2'!L13+'Työaika jäsen 3'!L13+'Työaika jäsen 4'!L13</f>
        <v>0</v>
      </c>
      <c r="S11" s="6">
        <f t="shared" si="1"/>
        <v>0</v>
      </c>
    </row>
    <row r="12" spans="1:19" ht="14.55" customHeight="1" x14ac:dyDescent="0.3">
      <c r="A12" s="30">
        <v>45963</v>
      </c>
      <c r="B12" s="3">
        <f>'Työaika jäsen 1'!B14</f>
        <v>0</v>
      </c>
      <c r="C12" s="3">
        <f>'Työaika jäsen 2'!B14</f>
        <v>0</v>
      </c>
      <c r="D12" s="3">
        <f>'Työaika jäsen 3'!B14</f>
        <v>0</v>
      </c>
      <c r="E12" s="3">
        <f>'Työaika jäsen 4'!B14</f>
        <v>0</v>
      </c>
      <c r="F12" s="3">
        <f t="shared" si="0"/>
        <v>0</v>
      </c>
      <c r="H12" s="30">
        <v>45963</v>
      </c>
      <c r="I12" s="3">
        <f>'Työaika jäsen 1'!C14+'Työaika jäsen 2'!C14+'Työaika jäsen 3'!C14+'Työaika jäsen 4'!C14</f>
        <v>0</v>
      </c>
      <c r="J12" s="3">
        <f>'Työaika jäsen 1'!D14+'Työaika jäsen 2'!D14+'Työaika jäsen 3'!D14+'Työaika jäsen 4'!D14</f>
        <v>0</v>
      </c>
      <c r="K12" s="3">
        <f>'Työaika jäsen 1'!E14+'Työaika jäsen 2'!E14+'Työaika jäsen 3'!E14+'Työaika jäsen 4'!E14</f>
        <v>0</v>
      </c>
      <c r="L12" s="3">
        <f>'Työaika jäsen 1'!F14+'Työaika jäsen 2'!F14+'Työaika jäsen 3'!F14+'Työaika jäsen 4'!F14</f>
        <v>0</v>
      </c>
      <c r="M12" s="3">
        <f>'Työaika jäsen 1'!G14+'Työaika jäsen 2'!G14+'Työaika jäsen 3'!G14+'Työaika jäsen 4'!G14</f>
        <v>0</v>
      </c>
      <c r="N12" s="3">
        <f>'Työaika jäsen 1'!H14+'Työaika jäsen 2'!H14+'Työaika jäsen 3'!H14+'Työaika jäsen 4'!H14</f>
        <v>0</v>
      </c>
      <c r="O12" s="3">
        <f>'Työaika jäsen 1'!I14+'Työaika jäsen 2'!I14+'Työaika jäsen 3'!I14+'Työaika jäsen 4'!I14</f>
        <v>0</v>
      </c>
      <c r="P12" s="3">
        <f>'Työaika jäsen 1'!J14+'Työaika jäsen 2'!J14+'Työaika jäsen 3'!J14+'Työaika jäsen 4'!J14</f>
        <v>0</v>
      </c>
      <c r="Q12" s="3">
        <f>'Työaika jäsen 1'!K14+'Työaika jäsen 2'!K14+'Työaika jäsen 3'!K14+'Työaika jäsen 4'!K14</f>
        <v>0</v>
      </c>
      <c r="R12" s="3">
        <f>'Työaika jäsen 1'!L14+'Työaika jäsen 2'!L14+'Työaika jäsen 3'!L14+'Työaika jäsen 4'!L14</f>
        <v>0</v>
      </c>
      <c r="S12" s="6">
        <f t="shared" si="1"/>
        <v>0</v>
      </c>
    </row>
    <row r="13" spans="1:19" ht="14.55" customHeight="1" x14ac:dyDescent="0.3">
      <c r="A13" s="30">
        <v>45964</v>
      </c>
      <c r="B13" s="3">
        <f>'Työaika jäsen 1'!B15</f>
        <v>0</v>
      </c>
      <c r="C13" s="3">
        <f>'Työaika jäsen 2'!B15</f>
        <v>0</v>
      </c>
      <c r="D13" s="3">
        <f>'Työaika jäsen 3'!B15</f>
        <v>0</v>
      </c>
      <c r="E13" s="3">
        <f>'Työaika jäsen 4'!B15</f>
        <v>0</v>
      </c>
      <c r="F13" s="3">
        <f t="shared" si="0"/>
        <v>0</v>
      </c>
      <c r="H13" s="30">
        <v>45964</v>
      </c>
      <c r="I13" s="3">
        <f>'Työaika jäsen 1'!C15+'Työaika jäsen 2'!C15+'Työaika jäsen 3'!C15+'Työaika jäsen 4'!C15</f>
        <v>0</v>
      </c>
      <c r="J13" s="3">
        <f>'Työaika jäsen 1'!D15+'Työaika jäsen 2'!D15+'Työaika jäsen 3'!D15+'Työaika jäsen 4'!D15</f>
        <v>0</v>
      </c>
      <c r="K13" s="3">
        <f>'Työaika jäsen 1'!E15+'Työaika jäsen 2'!E15+'Työaika jäsen 3'!E15+'Työaika jäsen 4'!E15</f>
        <v>0</v>
      </c>
      <c r="L13" s="3">
        <f>'Työaika jäsen 1'!F15+'Työaika jäsen 2'!F15+'Työaika jäsen 3'!F15+'Työaika jäsen 4'!F15</f>
        <v>0</v>
      </c>
      <c r="M13" s="3">
        <f>'Työaika jäsen 1'!G15+'Työaika jäsen 2'!G15+'Työaika jäsen 3'!G15+'Työaika jäsen 4'!G15</f>
        <v>0</v>
      </c>
      <c r="N13" s="3">
        <f>'Työaika jäsen 1'!H15+'Työaika jäsen 2'!H15+'Työaika jäsen 3'!H15+'Työaika jäsen 4'!H15</f>
        <v>0</v>
      </c>
      <c r="O13" s="3">
        <f>'Työaika jäsen 1'!I15+'Työaika jäsen 2'!I15+'Työaika jäsen 3'!I15+'Työaika jäsen 4'!I15</f>
        <v>0</v>
      </c>
      <c r="P13" s="3">
        <f>'Työaika jäsen 1'!J15+'Työaika jäsen 2'!J15+'Työaika jäsen 3'!J15+'Työaika jäsen 4'!J15</f>
        <v>0</v>
      </c>
      <c r="Q13" s="3">
        <f>'Työaika jäsen 1'!K15+'Työaika jäsen 2'!K15+'Työaika jäsen 3'!K15+'Työaika jäsen 4'!K15</f>
        <v>0</v>
      </c>
      <c r="R13" s="3">
        <f>'Työaika jäsen 1'!L15+'Työaika jäsen 2'!L15+'Työaika jäsen 3'!L15+'Työaika jäsen 4'!L15</f>
        <v>0</v>
      </c>
      <c r="S13" s="6">
        <f t="shared" si="1"/>
        <v>0</v>
      </c>
    </row>
    <row r="14" spans="1:19" ht="14.55" customHeight="1" x14ac:dyDescent="0.3">
      <c r="A14" s="30">
        <v>45965</v>
      </c>
      <c r="B14" s="3">
        <f>'Työaika jäsen 1'!B16</f>
        <v>0</v>
      </c>
      <c r="C14" s="3">
        <f>'Työaika jäsen 2'!B16</f>
        <v>0</v>
      </c>
      <c r="D14" s="3">
        <f>'Työaika jäsen 3'!B16</f>
        <v>0</v>
      </c>
      <c r="E14" s="3">
        <f>'Työaika jäsen 4'!B16</f>
        <v>0</v>
      </c>
      <c r="F14" s="3">
        <f t="shared" si="0"/>
        <v>0</v>
      </c>
      <c r="H14" s="30">
        <v>45965</v>
      </c>
      <c r="I14" s="3">
        <f>'Työaika jäsen 1'!C16+'Työaika jäsen 2'!C16+'Työaika jäsen 3'!C16+'Työaika jäsen 4'!C16</f>
        <v>0</v>
      </c>
      <c r="J14" s="3">
        <f>'Työaika jäsen 1'!D16+'Työaika jäsen 2'!D16+'Työaika jäsen 3'!D16+'Työaika jäsen 4'!D16</f>
        <v>0</v>
      </c>
      <c r="K14" s="3">
        <f>'Työaika jäsen 1'!E16+'Työaika jäsen 2'!E16+'Työaika jäsen 3'!E16+'Työaika jäsen 4'!E16</f>
        <v>0</v>
      </c>
      <c r="L14" s="3">
        <f>'Työaika jäsen 1'!F16+'Työaika jäsen 2'!F16+'Työaika jäsen 3'!F16+'Työaika jäsen 4'!F16</f>
        <v>0</v>
      </c>
      <c r="M14" s="3">
        <f>'Työaika jäsen 1'!G16+'Työaika jäsen 2'!G16+'Työaika jäsen 3'!G16+'Työaika jäsen 4'!G16</f>
        <v>0</v>
      </c>
      <c r="N14" s="3">
        <f>'Työaika jäsen 1'!H16+'Työaika jäsen 2'!H16+'Työaika jäsen 3'!H16+'Työaika jäsen 4'!H16</f>
        <v>0</v>
      </c>
      <c r="O14" s="3">
        <f>'Työaika jäsen 1'!I16+'Työaika jäsen 2'!I16+'Työaika jäsen 3'!I16+'Työaika jäsen 4'!I16</f>
        <v>0</v>
      </c>
      <c r="P14" s="3">
        <f>'Työaika jäsen 1'!J16+'Työaika jäsen 2'!J16+'Työaika jäsen 3'!J16+'Työaika jäsen 4'!J16</f>
        <v>0</v>
      </c>
      <c r="Q14" s="3">
        <f>'Työaika jäsen 1'!K16+'Työaika jäsen 2'!K16+'Työaika jäsen 3'!K16+'Työaika jäsen 4'!K16</f>
        <v>0</v>
      </c>
      <c r="R14" s="3">
        <f>'Työaika jäsen 1'!L16+'Työaika jäsen 2'!L16+'Työaika jäsen 3'!L16+'Työaika jäsen 4'!L16</f>
        <v>0</v>
      </c>
      <c r="S14" s="6">
        <f t="shared" si="1"/>
        <v>0</v>
      </c>
    </row>
    <row r="15" spans="1:19" ht="14.55" customHeight="1" x14ac:dyDescent="0.3">
      <c r="A15" s="30">
        <v>45966</v>
      </c>
      <c r="B15" s="3">
        <f>'Työaika jäsen 1'!B17</f>
        <v>0</v>
      </c>
      <c r="C15" s="3">
        <f>'Työaika jäsen 2'!B17</f>
        <v>0</v>
      </c>
      <c r="D15" s="3">
        <f>'Työaika jäsen 3'!B17</f>
        <v>0</v>
      </c>
      <c r="E15" s="3">
        <f>'Työaika jäsen 4'!B17</f>
        <v>0</v>
      </c>
      <c r="F15" s="3">
        <f t="shared" si="0"/>
        <v>0</v>
      </c>
      <c r="H15" s="30">
        <v>45966</v>
      </c>
      <c r="I15" s="3">
        <f>'Työaika jäsen 1'!C17+'Työaika jäsen 2'!C17+'Työaika jäsen 3'!C17+'Työaika jäsen 4'!C17</f>
        <v>0</v>
      </c>
      <c r="J15" s="3">
        <f>'Työaika jäsen 1'!D17+'Työaika jäsen 2'!D17+'Työaika jäsen 3'!D17+'Työaika jäsen 4'!D17</f>
        <v>0</v>
      </c>
      <c r="K15" s="3">
        <f>'Työaika jäsen 1'!E17+'Työaika jäsen 2'!E17+'Työaika jäsen 3'!E17+'Työaika jäsen 4'!E17</f>
        <v>0</v>
      </c>
      <c r="L15" s="3">
        <f>'Työaika jäsen 1'!F17+'Työaika jäsen 2'!F17+'Työaika jäsen 3'!F17+'Työaika jäsen 4'!F17</f>
        <v>0</v>
      </c>
      <c r="M15" s="3">
        <f>'Työaika jäsen 1'!G17+'Työaika jäsen 2'!G17+'Työaika jäsen 3'!G17+'Työaika jäsen 4'!G17</f>
        <v>0</v>
      </c>
      <c r="N15" s="3">
        <f>'Työaika jäsen 1'!H17+'Työaika jäsen 2'!H17+'Työaika jäsen 3'!H17+'Työaika jäsen 4'!H17</f>
        <v>0</v>
      </c>
      <c r="O15" s="3">
        <f>'Työaika jäsen 1'!I17+'Työaika jäsen 2'!I17+'Työaika jäsen 3'!I17+'Työaika jäsen 4'!I17</f>
        <v>0</v>
      </c>
      <c r="P15" s="3">
        <f>'Työaika jäsen 1'!J17+'Työaika jäsen 2'!J17+'Työaika jäsen 3'!J17+'Työaika jäsen 4'!J17</f>
        <v>0</v>
      </c>
      <c r="Q15" s="3">
        <f>'Työaika jäsen 1'!K17+'Työaika jäsen 2'!K17+'Työaika jäsen 3'!K17+'Työaika jäsen 4'!K17</f>
        <v>0</v>
      </c>
      <c r="R15" s="3">
        <f>'Työaika jäsen 1'!L17+'Työaika jäsen 2'!L17+'Työaika jäsen 3'!L17+'Työaika jäsen 4'!L17</f>
        <v>0</v>
      </c>
      <c r="S15" s="6">
        <f t="shared" si="1"/>
        <v>0</v>
      </c>
    </row>
    <row r="16" spans="1:19" ht="14.55" customHeight="1" x14ac:dyDescent="0.3">
      <c r="A16" s="30">
        <v>45967</v>
      </c>
      <c r="B16" s="3">
        <f>'Työaika jäsen 1'!B18</f>
        <v>0</v>
      </c>
      <c r="C16" s="3">
        <f>'Työaika jäsen 2'!B18</f>
        <v>0</v>
      </c>
      <c r="D16" s="3">
        <f>'Työaika jäsen 3'!B18</f>
        <v>0</v>
      </c>
      <c r="E16" s="3">
        <f>'Työaika jäsen 4'!B18</f>
        <v>0</v>
      </c>
      <c r="F16" s="3">
        <f t="shared" si="0"/>
        <v>0</v>
      </c>
      <c r="H16" s="30">
        <v>45967</v>
      </c>
      <c r="I16" s="3">
        <f>'Työaika jäsen 1'!C18+'Työaika jäsen 2'!C18+'Työaika jäsen 3'!C18+'Työaika jäsen 4'!C18</f>
        <v>0</v>
      </c>
      <c r="J16" s="3">
        <f>'Työaika jäsen 1'!D18+'Työaika jäsen 2'!D18+'Työaika jäsen 3'!D18+'Työaika jäsen 4'!D18</f>
        <v>0</v>
      </c>
      <c r="K16" s="3">
        <f>'Työaika jäsen 1'!E18+'Työaika jäsen 2'!E18+'Työaika jäsen 3'!E18+'Työaika jäsen 4'!E18</f>
        <v>0</v>
      </c>
      <c r="L16" s="3">
        <f>'Työaika jäsen 1'!F18+'Työaika jäsen 2'!F18+'Työaika jäsen 3'!F18+'Työaika jäsen 4'!F18</f>
        <v>0</v>
      </c>
      <c r="M16" s="3">
        <f>'Työaika jäsen 1'!G18+'Työaika jäsen 2'!G18+'Työaika jäsen 3'!G18+'Työaika jäsen 4'!G18</f>
        <v>0</v>
      </c>
      <c r="N16" s="3">
        <f>'Työaika jäsen 1'!H18+'Työaika jäsen 2'!H18+'Työaika jäsen 3'!H18+'Työaika jäsen 4'!H18</f>
        <v>0</v>
      </c>
      <c r="O16" s="3">
        <f>'Työaika jäsen 1'!I18+'Työaika jäsen 2'!I18+'Työaika jäsen 3'!I18+'Työaika jäsen 4'!I18</f>
        <v>0</v>
      </c>
      <c r="P16" s="3">
        <f>'Työaika jäsen 1'!J18+'Työaika jäsen 2'!J18+'Työaika jäsen 3'!J18+'Työaika jäsen 4'!J18</f>
        <v>0</v>
      </c>
      <c r="Q16" s="3">
        <f>'Työaika jäsen 1'!K18+'Työaika jäsen 2'!K18+'Työaika jäsen 3'!K18+'Työaika jäsen 4'!K18</f>
        <v>0</v>
      </c>
      <c r="R16" s="3">
        <f>'Työaika jäsen 1'!L18+'Työaika jäsen 2'!L18+'Työaika jäsen 3'!L18+'Työaika jäsen 4'!L18</f>
        <v>0</v>
      </c>
      <c r="S16" s="6">
        <f t="shared" si="1"/>
        <v>0</v>
      </c>
    </row>
    <row r="17" spans="1:19" ht="14.55" customHeight="1" x14ac:dyDescent="0.3">
      <c r="A17" s="30">
        <v>45968</v>
      </c>
      <c r="B17" s="3">
        <f>'Työaika jäsen 1'!B19</f>
        <v>0</v>
      </c>
      <c r="C17" s="3">
        <f>'Työaika jäsen 2'!B19</f>
        <v>0</v>
      </c>
      <c r="D17" s="3">
        <f>'Työaika jäsen 3'!B19</f>
        <v>0</v>
      </c>
      <c r="E17" s="3">
        <f>'Työaika jäsen 4'!B19</f>
        <v>0</v>
      </c>
      <c r="F17" s="3">
        <f t="shared" si="0"/>
        <v>0</v>
      </c>
      <c r="H17" s="30">
        <v>45968</v>
      </c>
      <c r="I17" s="3">
        <f>'Työaika jäsen 1'!C19+'Työaika jäsen 2'!C19+'Työaika jäsen 3'!C19+'Työaika jäsen 4'!C19</f>
        <v>0</v>
      </c>
      <c r="J17" s="3">
        <f>'Työaika jäsen 1'!D19+'Työaika jäsen 2'!D19+'Työaika jäsen 3'!D19+'Työaika jäsen 4'!D19</f>
        <v>0</v>
      </c>
      <c r="K17" s="3">
        <f>'Työaika jäsen 1'!E19+'Työaika jäsen 2'!E19+'Työaika jäsen 3'!E19+'Työaika jäsen 4'!E19</f>
        <v>0</v>
      </c>
      <c r="L17" s="3">
        <f>'Työaika jäsen 1'!F19+'Työaika jäsen 2'!F19+'Työaika jäsen 3'!F19+'Työaika jäsen 4'!F19</f>
        <v>0</v>
      </c>
      <c r="M17" s="3">
        <f>'Työaika jäsen 1'!G19+'Työaika jäsen 2'!G19+'Työaika jäsen 3'!G19+'Työaika jäsen 4'!G19</f>
        <v>0</v>
      </c>
      <c r="N17" s="3">
        <f>'Työaika jäsen 1'!H19+'Työaika jäsen 2'!H19+'Työaika jäsen 3'!H19+'Työaika jäsen 4'!H19</f>
        <v>0</v>
      </c>
      <c r="O17" s="3">
        <f>'Työaika jäsen 1'!I19+'Työaika jäsen 2'!I19+'Työaika jäsen 3'!I19+'Työaika jäsen 4'!I19</f>
        <v>0</v>
      </c>
      <c r="P17" s="3">
        <f>'Työaika jäsen 1'!J19+'Työaika jäsen 2'!J19+'Työaika jäsen 3'!J19+'Työaika jäsen 4'!J19</f>
        <v>0</v>
      </c>
      <c r="Q17" s="3">
        <f>'Työaika jäsen 1'!K19+'Työaika jäsen 2'!K19+'Työaika jäsen 3'!K19+'Työaika jäsen 4'!K19</f>
        <v>0</v>
      </c>
      <c r="R17" s="3">
        <f>'Työaika jäsen 1'!L19+'Työaika jäsen 2'!L19+'Työaika jäsen 3'!L19+'Työaika jäsen 4'!L19</f>
        <v>0</v>
      </c>
      <c r="S17" s="6">
        <f t="shared" si="1"/>
        <v>0</v>
      </c>
    </row>
    <row r="18" spans="1:19" ht="14.55" customHeight="1" x14ac:dyDescent="0.3">
      <c r="A18" s="30">
        <v>45969</v>
      </c>
      <c r="B18" s="3">
        <f>'Työaika jäsen 1'!B20</f>
        <v>0</v>
      </c>
      <c r="C18" s="3">
        <f>'Työaika jäsen 2'!B20</f>
        <v>0</v>
      </c>
      <c r="D18" s="3">
        <f>'Työaika jäsen 3'!B20</f>
        <v>0</v>
      </c>
      <c r="E18" s="3">
        <f>'Työaika jäsen 4'!B20</f>
        <v>0</v>
      </c>
      <c r="F18" s="3">
        <f t="shared" si="0"/>
        <v>0</v>
      </c>
      <c r="H18" s="30">
        <v>45969</v>
      </c>
      <c r="I18" s="3">
        <f>'Työaika jäsen 1'!C20+'Työaika jäsen 2'!C20+'Työaika jäsen 3'!C20+'Työaika jäsen 4'!C20</f>
        <v>0</v>
      </c>
      <c r="J18" s="3">
        <f>'Työaika jäsen 1'!D20+'Työaika jäsen 2'!D20+'Työaika jäsen 3'!D20+'Työaika jäsen 4'!D20</f>
        <v>0</v>
      </c>
      <c r="K18" s="3">
        <f>'Työaika jäsen 1'!E20+'Työaika jäsen 2'!E20+'Työaika jäsen 3'!E20+'Työaika jäsen 4'!E20</f>
        <v>0</v>
      </c>
      <c r="L18" s="3">
        <f>'Työaika jäsen 1'!F20+'Työaika jäsen 2'!F20+'Työaika jäsen 3'!F20+'Työaika jäsen 4'!F20</f>
        <v>0</v>
      </c>
      <c r="M18" s="3">
        <f>'Työaika jäsen 1'!G20+'Työaika jäsen 2'!G20+'Työaika jäsen 3'!G20+'Työaika jäsen 4'!G20</f>
        <v>0</v>
      </c>
      <c r="N18" s="3">
        <f>'Työaika jäsen 1'!H20+'Työaika jäsen 2'!H20+'Työaika jäsen 3'!H20+'Työaika jäsen 4'!H20</f>
        <v>0</v>
      </c>
      <c r="O18" s="3">
        <f>'Työaika jäsen 1'!I20+'Työaika jäsen 2'!I20+'Työaika jäsen 3'!I20+'Työaika jäsen 4'!I20</f>
        <v>0</v>
      </c>
      <c r="P18" s="3">
        <f>'Työaika jäsen 1'!J20+'Työaika jäsen 2'!J20+'Työaika jäsen 3'!J20+'Työaika jäsen 4'!J20</f>
        <v>0</v>
      </c>
      <c r="Q18" s="3">
        <f>'Työaika jäsen 1'!K20+'Työaika jäsen 2'!K20+'Työaika jäsen 3'!K20+'Työaika jäsen 4'!K20</f>
        <v>0</v>
      </c>
      <c r="R18" s="3">
        <f>'Työaika jäsen 1'!L20+'Työaika jäsen 2'!L20+'Työaika jäsen 3'!L20+'Työaika jäsen 4'!L20</f>
        <v>0</v>
      </c>
      <c r="S18" s="6">
        <f t="shared" si="1"/>
        <v>0</v>
      </c>
    </row>
    <row r="19" spans="1:19" ht="14.55" customHeight="1" x14ac:dyDescent="0.3">
      <c r="A19" s="30">
        <v>45970</v>
      </c>
      <c r="B19" s="3">
        <f>'Työaika jäsen 1'!B21</f>
        <v>0</v>
      </c>
      <c r="C19" s="3">
        <f>'Työaika jäsen 2'!B21</f>
        <v>0</v>
      </c>
      <c r="D19" s="3">
        <f>'Työaika jäsen 3'!B21</f>
        <v>0</v>
      </c>
      <c r="E19" s="3">
        <f>'Työaika jäsen 4'!B21</f>
        <v>0</v>
      </c>
      <c r="F19" s="3">
        <f t="shared" si="0"/>
        <v>0</v>
      </c>
      <c r="H19" s="30">
        <v>45970</v>
      </c>
      <c r="I19" s="3">
        <f>'Työaika jäsen 1'!C21+'Työaika jäsen 2'!C21+'Työaika jäsen 3'!C21+'Työaika jäsen 4'!C21</f>
        <v>0</v>
      </c>
      <c r="J19" s="3">
        <f>'Työaika jäsen 1'!D21+'Työaika jäsen 2'!D21+'Työaika jäsen 3'!D21+'Työaika jäsen 4'!D21</f>
        <v>0</v>
      </c>
      <c r="K19" s="3">
        <f>'Työaika jäsen 1'!E21+'Työaika jäsen 2'!E21+'Työaika jäsen 3'!E21+'Työaika jäsen 4'!E21</f>
        <v>0</v>
      </c>
      <c r="L19" s="3">
        <f>'Työaika jäsen 1'!F21+'Työaika jäsen 2'!F21+'Työaika jäsen 3'!F21+'Työaika jäsen 4'!F21</f>
        <v>0</v>
      </c>
      <c r="M19" s="3">
        <f>'Työaika jäsen 1'!G21+'Työaika jäsen 2'!G21+'Työaika jäsen 3'!G21+'Työaika jäsen 4'!G21</f>
        <v>0</v>
      </c>
      <c r="N19" s="3">
        <f>'Työaika jäsen 1'!H21+'Työaika jäsen 2'!H21+'Työaika jäsen 3'!H21+'Työaika jäsen 4'!H21</f>
        <v>0</v>
      </c>
      <c r="O19" s="3">
        <f>'Työaika jäsen 1'!I21+'Työaika jäsen 2'!I21+'Työaika jäsen 3'!I21+'Työaika jäsen 4'!I21</f>
        <v>0</v>
      </c>
      <c r="P19" s="3">
        <f>'Työaika jäsen 1'!J21+'Työaika jäsen 2'!J21+'Työaika jäsen 3'!J21+'Työaika jäsen 4'!J21</f>
        <v>0</v>
      </c>
      <c r="Q19" s="3">
        <f>'Työaika jäsen 1'!K21+'Työaika jäsen 2'!K21+'Työaika jäsen 3'!K21+'Työaika jäsen 4'!K21</f>
        <v>0</v>
      </c>
      <c r="R19" s="3">
        <f>'Työaika jäsen 1'!L21+'Työaika jäsen 2'!L21+'Työaika jäsen 3'!L21+'Työaika jäsen 4'!L21</f>
        <v>0</v>
      </c>
      <c r="S19" s="6">
        <f t="shared" si="1"/>
        <v>0</v>
      </c>
    </row>
    <row r="20" spans="1:19" ht="14.55" customHeight="1" x14ac:dyDescent="0.3">
      <c r="A20" s="30">
        <v>45971</v>
      </c>
      <c r="B20" s="3">
        <f>'Työaika jäsen 1'!B22</f>
        <v>0</v>
      </c>
      <c r="C20" s="3">
        <f>'Työaika jäsen 2'!B22</f>
        <v>0</v>
      </c>
      <c r="D20" s="3">
        <f>'Työaika jäsen 3'!B22</f>
        <v>0</v>
      </c>
      <c r="E20" s="3">
        <f>'Työaika jäsen 4'!B22</f>
        <v>0</v>
      </c>
      <c r="F20" s="3">
        <f t="shared" si="0"/>
        <v>0</v>
      </c>
      <c r="H20" s="30">
        <v>45971</v>
      </c>
      <c r="I20" s="3">
        <f>'Työaika jäsen 1'!C22+'Työaika jäsen 2'!C22+'Työaika jäsen 3'!C22+'Työaika jäsen 4'!C22</f>
        <v>0</v>
      </c>
      <c r="J20" s="3">
        <f>'Työaika jäsen 1'!D22+'Työaika jäsen 2'!D22+'Työaika jäsen 3'!D22+'Työaika jäsen 4'!D22</f>
        <v>0</v>
      </c>
      <c r="K20" s="3">
        <f>'Työaika jäsen 1'!E22+'Työaika jäsen 2'!E22+'Työaika jäsen 3'!E22+'Työaika jäsen 4'!E22</f>
        <v>0</v>
      </c>
      <c r="L20" s="3">
        <f>'Työaika jäsen 1'!F22+'Työaika jäsen 2'!F22+'Työaika jäsen 3'!F22+'Työaika jäsen 4'!F22</f>
        <v>0</v>
      </c>
      <c r="M20" s="3">
        <f>'Työaika jäsen 1'!G22+'Työaika jäsen 2'!G22+'Työaika jäsen 3'!G22+'Työaika jäsen 4'!G22</f>
        <v>0</v>
      </c>
      <c r="N20" s="3">
        <f>'Työaika jäsen 1'!H22+'Työaika jäsen 2'!H22+'Työaika jäsen 3'!H22+'Työaika jäsen 4'!H22</f>
        <v>0</v>
      </c>
      <c r="O20" s="3">
        <f>'Työaika jäsen 1'!I22+'Työaika jäsen 2'!I22+'Työaika jäsen 3'!I22+'Työaika jäsen 4'!I22</f>
        <v>0</v>
      </c>
      <c r="P20" s="3">
        <f>'Työaika jäsen 1'!J22+'Työaika jäsen 2'!J22+'Työaika jäsen 3'!J22+'Työaika jäsen 4'!J22</f>
        <v>0</v>
      </c>
      <c r="Q20" s="3">
        <f>'Työaika jäsen 1'!K22+'Työaika jäsen 2'!K22+'Työaika jäsen 3'!K22+'Työaika jäsen 4'!K22</f>
        <v>0</v>
      </c>
      <c r="R20" s="3">
        <f>'Työaika jäsen 1'!L22+'Työaika jäsen 2'!L22+'Työaika jäsen 3'!L22+'Työaika jäsen 4'!L22</f>
        <v>0</v>
      </c>
      <c r="S20" s="6">
        <f t="shared" si="1"/>
        <v>0</v>
      </c>
    </row>
    <row r="21" spans="1:19" ht="14.55" customHeight="1" x14ac:dyDescent="0.3">
      <c r="A21" s="45" t="s">
        <v>29</v>
      </c>
      <c r="B21" s="46">
        <f>SUM(B6:B20)</f>
        <v>5</v>
      </c>
      <c r="C21" s="46">
        <f>SUM(C6:C20)</f>
        <v>0</v>
      </c>
      <c r="D21" s="46">
        <v>0</v>
      </c>
      <c r="E21" s="46">
        <f>SUM(E6:E20)</f>
        <v>0</v>
      </c>
      <c r="F21" s="46">
        <f>SUM(F6:F20)</f>
        <v>5</v>
      </c>
      <c r="H21" s="45" t="s">
        <v>29</v>
      </c>
      <c r="I21" s="46">
        <f t="shared" ref="I21:R21" si="2">SUM(I6:I20)</f>
        <v>1</v>
      </c>
      <c r="J21" s="46">
        <f t="shared" si="2"/>
        <v>1</v>
      </c>
      <c r="K21" s="46">
        <f t="shared" si="2"/>
        <v>1</v>
      </c>
      <c r="L21" s="46">
        <f t="shared" si="2"/>
        <v>2</v>
      </c>
      <c r="M21" s="46">
        <f t="shared" si="2"/>
        <v>0</v>
      </c>
      <c r="N21" s="46">
        <f t="shared" si="2"/>
        <v>0</v>
      </c>
      <c r="O21" s="46">
        <f t="shared" si="2"/>
        <v>0</v>
      </c>
      <c r="P21" s="46">
        <f t="shared" si="2"/>
        <v>0</v>
      </c>
      <c r="Q21" s="46">
        <f t="shared" si="2"/>
        <v>0</v>
      </c>
      <c r="R21" s="46">
        <f t="shared" si="2"/>
        <v>0</v>
      </c>
      <c r="S21" s="46">
        <f>SUM(S6:S20)</f>
        <v>5</v>
      </c>
    </row>
    <row r="22" spans="1:19" s="33" customFormat="1" ht="14.55" customHeight="1" x14ac:dyDescent="0.3">
      <c r="A22" s="31" t="s">
        <v>20</v>
      </c>
      <c r="B22" s="32">
        <f>B21</f>
        <v>5</v>
      </c>
      <c r="C22" s="32">
        <f t="shared" ref="C22:F22" si="3">C21</f>
        <v>0</v>
      </c>
      <c r="D22" s="32">
        <f t="shared" si="3"/>
        <v>0</v>
      </c>
      <c r="E22" s="32">
        <f t="shared" si="3"/>
        <v>0</v>
      </c>
      <c r="F22" s="32">
        <f t="shared" si="3"/>
        <v>5</v>
      </c>
      <c r="H22" s="31"/>
      <c r="I22" s="32"/>
      <c r="J22" s="32"/>
      <c r="K22" s="32"/>
      <c r="L22" s="32"/>
      <c r="M22" s="32"/>
      <c r="N22" s="34"/>
      <c r="O22" s="34"/>
      <c r="P22" s="34"/>
      <c r="Q22" s="34"/>
      <c r="R22" s="34"/>
      <c r="S22" s="34"/>
    </row>
    <row r="24" spans="1:19" ht="14.55" customHeight="1" x14ac:dyDescent="0.3">
      <c r="A24" s="66" t="s">
        <v>30</v>
      </c>
      <c r="B24" s="57" t="s">
        <v>25</v>
      </c>
      <c r="C24" s="57" t="s">
        <v>26</v>
      </c>
      <c r="D24" s="57" t="s">
        <v>27</v>
      </c>
      <c r="E24" s="57" t="s">
        <v>28</v>
      </c>
      <c r="F24" s="57" t="s">
        <v>11</v>
      </c>
      <c r="H24" s="66" t="s">
        <v>30</v>
      </c>
      <c r="I24" s="57" t="s">
        <v>56</v>
      </c>
      <c r="J24" s="57" t="s">
        <v>57</v>
      </c>
      <c r="K24" s="57" t="s">
        <v>58</v>
      </c>
      <c r="L24" s="57" t="s">
        <v>59</v>
      </c>
      <c r="M24" s="57" t="s">
        <v>60</v>
      </c>
      <c r="N24" s="57" t="s">
        <v>61</v>
      </c>
      <c r="O24" s="57" t="s">
        <v>62</v>
      </c>
      <c r="P24" s="57" t="s">
        <v>63</v>
      </c>
      <c r="Q24" s="57" t="s">
        <v>64</v>
      </c>
      <c r="R24" s="57" t="s">
        <v>65</v>
      </c>
      <c r="S24" s="57" t="s">
        <v>11</v>
      </c>
    </row>
    <row r="25" spans="1:19" ht="14.55" customHeight="1" x14ac:dyDescent="0.3">
      <c r="A25" s="30">
        <v>45972</v>
      </c>
      <c r="B25" s="3">
        <f>'Työaika jäsen 1'!B27</f>
        <v>0</v>
      </c>
      <c r="C25" s="3">
        <f>'Työaika jäsen 2'!B27</f>
        <v>0</v>
      </c>
      <c r="D25" s="3">
        <f>'Työaika jäsen 3'!B27</f>
        <v>0</v>
      </c>
      <c r="E25" s="3">
        <f>'Työaika jäsen 4'!B27</f>
        <v>0</v>
      </c>
      <c r="F25" s="3">
        <f>SUM(B25:E25)</f>
        <v>0</v>
      </c>
      <c r="H25" s="30">
        <v>45957</v>
      </c>
      <c r="I25" s="3">
        <f>'Työaika jäsen 1'!C27+'Työaika jäsen 2'!C27+'Työaika jäsen 3'!C27+'Työaika jäsen 4'!C27</f>
        <v>0</v>
      </c>
      <c r="J25" s="3">
        <f>'Työaika jäsen 1'!D27+'Työaika jäsen 2'!D27+'Työaika jäsen 3'!D27+'Työaika jäsen 4'!D27</f>
        <v>0</v>
      </c>
      <c r="K25" s="3">
        <f>'Työaika jäsen 1'!E27+'Työaika jäsen 2'!E27+'Työaika jäsen 3'!E27+'Työaika jäsen 4'!E27</f>
        <v>0</v>
      </c>
      <c r="L25" s="3">
        <f>'Työaika jäsen 1'!F27+'Työaika jäsen 2'!F27+'Työaika jäsen 3'!F27+'Työaika jäsen 4'!F27</f>
        <v>0</v>
      </c>
      <c r="M25" s="3">
        <f>'Työaika jäsen 1'!G27+'Työaika jäsen 2'!G27+'Työaika jäsen 3'!G27+'Työaika jäsen 4'!G27</f>
        <v>0</v>
      </c>
      <c r="N25" s="3">
        <f>'Työaika jäsen 1'!H27+'Työaika jäsen 2'!H27+'Työaika jäsen 3'!H27+'Työaika jäsen 4'!H27</f>
        <v>0</v>
      </c>
      <c r="O25" s="3">
        <f>'Työaika jäsen 1'!I27+'Työaika jäsen 2'!I27+'Työaika jäsen 3'!I27+'Työaika jäsen 4'!I27</f>
        <v>0</v>
      </c>
      <c r="P25" s="3">
        <f>'Työaika jäsen 1'!J27+'Työaika jäsen 2'!J27+'Työaika jäsen 3'!J27+'Työaika jäsen 4'!J27</f>
        <v>0</v>
      </c>
      <c r="Q25" s="3">
        <f>'Työaika jäsen 1'!K27+'Työaika jäsen 2'!K27+'Työaika jäsen 3'!K27+'Työaika jäsen 4'!K27</f>
        <v>0</v>
      </c>
      <c r="R25" s="3">
        <f>'Työaika jäsen 1'!L27+'Työaika jäsen 2'!L27+'Työaika jäsen 3'!L27+'Työaika jäsen 4'!L27</f>
        <v>0</v>
      </c>
      <c r="S25" s="6">
        <f>SUM(I25:R25)</f>
        <v>0</v>
      </c>
    </row>
    <row r="26" spans="1:19" ht="14.55" customHeight="1" x14ac:dyDescent="0.3">
      <c r="A26" s="30">
        <v>45973</v>
      </c>
      <c r="B26" s="3">
        <f>'Työaika jäsen 1'!B28</f>
        <v>0</v>
      </c>
      <c r="C26" s="3">
        <f>'Työaika jäsen 2'!B28</f>
        <v>0</v>
      </c>
      <c r="D26" s="3">
        <f>'Työaika jäsen 3'!B28</f>
        <v>0</v>
      </c>
      <c r="E26" s="3">
        <f>'Työaika jäsen 4'!B28</f>
        <v>0</v>
      </c>
      <c r="F26" s="3">
        <f t="shared" ref="F26:F39" si="4">SUM(B26:E26)</f>
        <v>0</v>
      </c>
      <c r="H26" s="30">
        <v>45958</v>
      </c>
      <c r="I26" s="3">
        <f>'Työaika jäsen 1'!C28+'Työaika jäsen 2'!C28+'Työaika jäsen 3'!C28+'Työaika jäsen 4'!C28</f>
        <v>0</v>
      </c>
      <c r="J26" s="3">
        <f>'Työaika jäsen 1'!D28+'Työaika jäsen 2'!D28+'Työaika jäsen 3'!D28+'Työaika jäsen 4'!D28</f>
        <v>0</v>
      </c>
      <c r="K26" s="3">
        <f>'Työaika jäsen 1'!E28+'Työaika jäsen 2'!E28+'Työaika jäsen 3'!E28+'Työaika jäsen 4'!E28</f>
        <v>0</v>
      </c>
      <c r="L26" s="3">
        <f>'Työaika jäsen 1'!F28+'Työaika jäsen 2'!F28+'Työaika jäsen 3'!F28+'Työaika jäsen 4'!F28</f>
        <v>0</v>
      </c>
      <c r="M26" s="3">
        <f>'Työaika jäsen 1'!G28+'Työaika jäsen 2'!G28+'Työaika jäsen 3'!G28+'Työaika jäsen 4'!G28</f>
        <v>0</v>
      </c>
      <c r="N26" s="3">
        <f>'Työaika jäsen 1'!H28+'Työaika jäsen 2'!H28+'Työaika jäsen 3'!H28+'Työaika jäsen 4'!H28</f>
        <v>0</v>
      </c>
      <c r="O26" s="3">
        <f>'Työaika jäsen 1'!I28+'Työaika jäsen 2'!I28+'Työaika jäsen 3'!I28+'Työaika jäsen 4'!I28</f>
        <v>0</v>
      </c>
      <c r="P26" s="3">
        <f>'Työaika jäsen 1'!J28+'Työaika jäsen 2'!J28+'Työaika jäsen 3'!J28+'Työaika jäsen 4'!J28</f>
        <v>0</v>
      </c>
      <c r="Q26" s="3">
        <f>'Työaika jäsen 1'!K28+'Työaika jäsen 2'!K28+'Työaika jäsen 3'!K28+'Työaika jäsen 4'!K28</f>
        <v>0</v>
      </c>
      <c r="R26" s="3">
        <f>'Työaika jäsen 1'!L28+'Työaika jäsen 2'!L28+'Työaika jäsen 3'!L28+'Työaika jäsen 4'!L28</f>
        <v>0</v>
      </c>
      <c r="S26" s="6">
        <f t="shared" ref="S26:S39" si="5">SUM(I26:R26)</f>
        <v>0</v>
      </c>
    </row>
    <row r="27" spans="1:19" ht="14.55" customHeight="1" x14ac:dyDescent="0.3">
      <c r="A27" s="30">
        <v>45974</v>
      </c>
      <c r="B27" s="3">
        <f>'Työaika jäsen 1'!B29</f>
        <v>0</v>
      </c>
      <c r="C27" s="3">
        <f>'Työaika jäsen 2'!B29</f>
        <v>0</v>
      </c>
      <c r="D27" s="3">
        <f>'Työaika jäsen 3'!B29</f>
        <v>0</v>
      </c>
      <c r="E27" s="3">
        <f>'Työaika jäsen 4'!B29</f>
        <v>0</v>
      </c>
      <c r="F27" s="3">
        <f t="shared" si="4"/>
        <v>0</v>
      </c>
      <c r="H27" s="30">
        <v>45959</v>
      </c>
      <c r="I27" s="3">
        <f>'Työaika jäsen 1'!C29+'Työaika jäsen 2'!C29+'Työaika jäsen 3'!C29+'Työaika jäsen 4'!C29</f>
        <v>0</v>
      </c>
      <c r="J27" s="3">
        <f>'Työaika jäsen 1'!D29+'Työaika jäsen 2'!D29+'Työaika jäsen 3'!D29+'Työaika jäsen 4'!D29</f>
        <v>0</v>
      </c>
      <c r="K27" s="3">
        <f>'Työaika jäsen 1'!E29+'Työaika jäsen 2'!E29+'Työaika jäsen 3'!E29+'Työaika jäsen 4'!E29</f>
        <v>0</v>
      </c>
      <c r="L27" s="3">
        <f>'Työaika jäsen 1'!F29+'Työaika jäsen 2'!F29+'Työaika jäsen 3'!F29+'Työaika jäsen 4'!F29</f>
        <v>0</v>
      </c>
      <c r="M27" s="3">
        <f>'Työaika jäsen 1'!G29+'Työaika jäsen 2'!G29+'Työaika jäsen 3'!G29+'Työaika jäsen 4'!G29</f>
        <v>0</v>
      </c>
      <c r="N27" s="3">
        <f>'Työaika jäsen 1'!H29+'Työaika jäsen 2'!H29+'Työaika jäsen 3'!H29+'Työaika jäsen 4'!H29</f>
        <v>0</v>
      </c>
      <c r="O27" s="3">
        <f>'Työaika jäsen 1'!I29+'Työaika jäsen 2'!I29+'Työaika jäsen 3'!I29+'Työaika jäsen 4'!I29</f>
        <v>0</v>
      </c>
      <c r="P27" s="3">
        <f>'Työaika jäsen 1'!J29+'Työaika jäsen 2'!J29+'Työaika jäsen 3'!J29+'Työaika jäsen 4'!J29</f>
        <v>0</v>
      </c>
      <c r="Q27" s="3">
        <f>'Työaika jäsen 1'!K29+'Työaika jäsen 2'!K29+'Työaika jäsen 3'!K29+'Työaika jäsen 4'!K29</f>
        <v>0</v>
      </c>
      <c r="R27" s="3">
        <f>'Työaika jäsen 1'!L29+'Työaika jäsen 2'!L29+'Työaika jäsen 3'!L29+'Työaika jäsen 4'!L29</f>
        <v>0</v>
      </c>
      <c r="S27" s="6">
        <f t="shared" si="5"/>
        <v>0</v>
      </c>
    </row>
    <row r="28" spans="1:19" ht="14.55" customHeight="1" x14ac:dyDescent="0.3">
      <c r="A28" s="30">
        <v>45975</v>
      </c>
      <c r="B28" s="3">
        <f>'Työaika jäsen 1'!B30</f>
        <v>0</v>
      </c>
      <c r="C28" s="3">
        <f>'Työaika jäsen 2'!B30</f>
        <v>0</v>
      </c>
      <c r="D28" s="3">
        <f>'Työaika jäsen 3'!B30</f>
        <v>0</v>
      </c>
      <c r="E28" s="3">
        <f>'Työaika jäsen 4'!B30</f>
        <v>0</v>
      </c>
      <c r="F28" s="3">
        <f t="shared" si="4"/>
        <v>0</v>
      </c>
      <c r="H28" s="30">
        <v>45960</v>
      </c>
      <c r="I28" s="3">
        <f>'Työaika jäsen 1'!C30+'Työaika jäsen 2'!C30+'Työaika jäsen 3'!C30+'Työaika jäsen 4'!C30</f>
        <v>0</v>
      </c>
      <c r="J28" s="3">
        <f>'Työaika jäsen 1'!D30+'Työaika jäsen 2'!D30+'Työaika jäsen 3'!D30+'Työaika jäsen 4'!D30</f>
        <v>0</v>
      </c>
      <c r="K28" s="3">
        <f>'Työaika jäsen 1'!E30+'Työaika jäsen 2'!E30+'Työaika jäsen 3'!E30+'Työaika jäsen 4'!E30</f>
        <v>0</v>
      </c>
      <c r="L28" s="3">
        <f>'Työaika jäsen 1'!F30+'Työaika jäsen 2'!F30+'Työaika jäsen 3'!F30+'Työaika jäsen 4'!F30</f>
        <v>0</v>
      </c>
      <c r="M28" s="3">
        <f>'Työaika jäsen 1'!G30+'Työaika jäsen 2'!G30+'Työaika jäsen 3'!G30+'Työaika jäsen 4'!G30</f>
        <v>0</v>
      </c>
      <c r="N28" s="3">
        <f>'Työaika jäsen 1'!H30+'Työaika jäsen 2'!H30+'Työaika jäsen 3'!H30+'Työaika jäsen 4'!H30</f>
        <v>0</v>
      </c>
      <c r="O28" s="3">
        <f>'Työaika jäsen 1'!I30+'Työaika jäsen 2'!I30+'Työaika jäsen 3'!I30+'Työaika jäsen 4'!I30</f>
        <v>0</v>
      </c>
      <c r="P28" s="3">
        <f>'Työaika jäsen 1'!J30+'Työaika jäsen 2'!J30+'Työaika jäsen 3'!J30+'Työaika jäsen 4'!J30</f>
        <v>0</v>
      </c>
      <c r="Q28" s="3">
        <f>'Työaika jäsen 1'!K30+'Työaika jäsen 2'!K30+'Työaika jäsen 3'!K30+'Työaika jäsen 4'!K30</f>
        <v>0</v>
      </c>
      <c r="R28" s="3">
        <f>'Työaika jäsen 1'!L30+'Työaika jäsen 2'!L30+'Työaika jäsen 3'!L30+'Työaika jäsen 4'!L30</f>
        <v>0</v>
      </c>
      <c r="S28" s="6">
        <f t="shared" si="5"/>
        <v>0</v>
      </c>
    </row>
    <row r="29" spans="1:19" ht="14.55" customHeight="1" x14ac:dyDescent="0.3">
      <c r="A29" s="30">
        <v>45976</v>
      </c>
      <c r="B29" s="3">
        <f>'Työaika jäsen 1'!B31</f>
        <v>0</v>
      </c>
      <c r="C29" s="3">
        <f>'Työaika jäsen 2'!B31</f>
        <v>0</v>
      </c>
      <c r="D29" s="3">
        <f>'Työaika jäsen 3'!B31</f>
        <v>0</v>
      </c>
      <c r="E29" s="3">
        <f>'Työaika jäsen 4'!B31</f>
        <v>0</v>
      </c>
      <c r="F29" s="3">
        <f t="shared" si="4"/>
        <v>0</v>
      </c>
      <c r="H29" s="30">
        <v>45961</v>
      </c>
      <c r="I29" s="3">
        <f>'Työaika jäsen 1'!C31+'Työaika jäsen 2'!C31+'Työaika jäsen 3'!C31+'Työaika jäsen 4'!C31</f>
        <v>0</v>
      </c>
      <c r="J29" s="3">
        <f>'Työaika jäsen 1'!D31+'Työaika jäsen 2'!D31+'Työaika jäsen 3'!D31+'Työaika jäsen 4'!D31</f>
        <v>0</v>
      </c>
      <c r="K29" s="3">
        <f>'Työaika jäsen 1'!E31+'Työaika jäsen 2'!E31+'Työaika jäsen 3'!E31+'Työaika jäsen 4'!E31</f>
        <v>0</v>
      </c>
      <c r="L29" s="3">
        <f>'Työaika jäsen 1'!F31+'Työaika jäsen 2'!F31+'Työaika jäsen 3'!F31+'Työaika jäsen 4'!F31</f>
        <v>0</v>
      </c>
      <c r="M29" s="3">
        <f>'Työaika jäsen 1'!G31+'Työaika jäsen 2'!G31+'Työaika jäsen 3'!G31+'Työaika jäsen 4'!G31</f>
        <v>0</v>
      </c>
      <c r="N29" s="3">
        <f>'Työaika jäsen 1'!H31+'Työaika jäsen 2'!H31+'Työaika jäsen 3'!H31+'Työaika jäsen 4'!H31</f>
        <v>0</v>
      </c>
      <c r="O29" s="3">
        <f>'Työaika jäsen 1'!I31+'Työaika jäsen 2'!I31+'Työaika jäsen 3'!I31+'Työaika jäsen 4'!I31</f>
        <v>0</v>
      </c>
      <c r="P29" s="3">
        <f>'Työaika jäsen 1'!J31+'Työaika jäsen 2'!J31+'Työaika jäsen 3'!J31+'Työaika jäsen 4'!J31</f>
        <v>0</v>
      </c>
      <c r="Q29" s="3">
        <f>'Työaika jäsen 1'!K31+'Työaika jäsen 2'!K31+'Työaika jäsen 3'!K31+'Työaika jäsen 4'!K31</f>
        <v>0</v>
      </c>
      <c r="R29" s="3">
        <f>'Työaika jäsen 1'!L31+'Työaika jäsen 2'!L31+'Työaika jäsen 3'!L31+'Työaika jäsen 4'!L31</f>
        <v>0</v>
      </c>
      <c r="S29" s="6">
        <f t="shared" si="5"/>
        <v>0</v>
      </c>
    </row>
    <row r="30" spans="1:19" ht="14.55" customHeight="1" x14ac:dyDescent="0.3">
      <c r="A30" s="30">
        <v>45977</v>
      </c>
      <c r="B30" s="3">
        <f>'Työaika jäsen 1'!B32</f>
        <v>0</v>
      </c>
      <c r="C30" s="3">
        <f>'Työaika jäsen 2'!B32</f>
        <v>0</v>
      </c>
      <c r="D30" s="3">
        <f>'Työaika jäsen 3'!B32</f>
        <v>0</v>
      </c>
      <c r="E30" s="3">
        <f>'Työaika jäsen 4'!B32</f>
        <v>0</v>
      </c>
      <c r="F30" s="3">
        <f t="shared" si="4"/>
        <v>0</v>
      </c>
      <c r="H30" s="30">
        <v>45962</v>
      </c>
      <c r="I30" s="3">
        <f>'Työaika jäsen 1'!C32+'Työaika jäsen 2'!C32+'Työaika jäsen 3'!C32+'Työaika jäsen 4'!C32</f>
        <v>0</v>
      </c>
      <c r="J30" s="3">
        <f>'Työaika jäsen 1'!D32+'Työaika jäsen 2'!D32+'Työaika jäsen 3'!D32+'Työaika jäsen 4'!D32</f>
        <v>0</v>
      </c>
      <c r="K30" s="3">
        <f>'Työaika jäsen 1'!E32+'Työaika jäsen 2'!E32+'Työaika jäsen 3'!E32+'Työaika jäsen 4'!E32</f>
        <v>0</v>
      </c>
      <c r="L30" s="3">
        <f>'Työaika jäsen 1'!F32+'Työaika jäsen 2'!F32+'Työaika jäsen 3'!F32+'Työaika jäsen 4'!F32</f>
        <v>0</v>
      </c>
      <c r="M30" s="3">
        <f>'Työaika jäsen 1'!G32+'Työaika jäsen 2'!G32+'Työaika jäsen 3'!G32+'Työaika jäsen 4'!G32</f>
        <v>0</v>
      </c>
      <c r="N30" s="3">
        <f>'Työaika jäsen 1'!H32+'Työaika jäsen 2'!H32+'Työaika jäsen 3'!H32+'Työaika jäsen 4'!H32</f>
        <v>0</v>
      </c>
      <c r="O30" s="3">
        <f>'Työaika jäsen 1'!I32+'Työaika jäsen 2'!I32+'Työaika jäsen 3'!I32+'Työaika jäsen 4'!I32</f>
        <v>0</v>
      </c>
      <c r="P30" s="3">
        <f>'Työaika jäsen 1'!J32+'Työaika jäsen 2'!J32+'Työaika jäsen 3'!J32+'Työaika jäsen 4'!J32</f>
        <v>0</v>
      </c>
      <c r="Q30" s="3">
        <f>'Työaika jäsen 1'!K32+'Työaika jäsen 2'!K32+'Työaika jäsen 3'!K32+'Työaika jäsen 4'!K32</f>
        <v>0</v>
      </c>
      <c r="R30" s="3">
        <f>'Työaika jäsen 1'!L32+'Työaika jäsen 2'!L32+'Työaika jäsen 3'!L32+'Työaika jäsen 4'!L32</f>
        <v>0</v>
      </c>
      <c r="S30" s="6">
        <f t="shared" si="5"/>
        <v>0</v>
      </c>
    </row>
    <row r="31" spans="1:19" ht="14.55" customHeight="1" x14ac:dyDescent="0.3">
      <c r="A31" s="30">
        <v>45978</v>
      </c>
      <c r="B31" s="3">
        <f>'Työaika jäsen 1'!B33</f>
        <v>0</v>
      </c>
      <c r="C31" s="3">
        <f>'Työaika jäsen 2'!B33</f>
        <v>0</v>
      </c>
      <c r="D31" s="3">
        <f>'Työaika jäsen 3'!B33</f>
        <v>0</v>
      </c>
      <c r="E31" s="3">
        <f>'Työaika jäsen 4'!B33</f>
        <v>0</v>
      </c>
      <c r="F31" s="3">
        <f t="shared" si="4"/>
        <v>0</v>
      </c>
      <c r="H31" s="30">
        <v>45963</v>
      </c>
      <c r="I31" s="3">
        <f>'Työaika jäsen 1'!C33+'Työaika jäsen 2'!C33+'Työaika jäsen 3'!C33+'Työaika jäsen 4'!C33</f>
        <v>0</v>
      </c>
      <c r="J31" s="3">
        <f>'Työaika jäsen 1'!D33+'Työaika jäsen 2'!D33+'Työaika jäsen 3'!D33+'Työaika jäsen 4'!D33</f>
        <v>0</v>
      </c>
      <c r="K31" s="3">
        <f>'Työaika jäsen 1'!E33+'Työaika jäsen 2'!E33+'Työaika jäsen 3'!E33+'Työaika jäsen 4'!E33</f>
        <v>0</v>
      </c>
      <c r="L31" s="3">
        <f>'Työaika jäsen 1'!F33+'Työaika jäsen 2'!F33+'Työaika jäsen 3'!F33+'Työaika jäsen 4'!F33</f>
        <v>0</v>
      </c>
      <c r="M31" s="3">
        <f>'Työaika jäsen 1'!G33+'Työaika jäsen 2'!G33+'Työaika jäsen 3'!G33+'Työaika jäsen 4'!G33</f>
        <v>0</v>
      </c>
      <c r="N31" s="3">
        <f>'Työaika jäsen 1'!H33+'Työaika jäsen 2'!H33+'Työaika jäsen 3'!H33+'Työaika jäsen 4'!H33</f>
        <v>0</v>
      </c>
      <c r="O31" s="3">
        <f>'Työaika jäsen 1'!I33+'Työaika jäsen 2'!I33+'Työaika jäsen 3'!I33+'Työaika jäsen 4'!I33</f>
        <v>0</v>
      </c>
      <c r="P31" s="3">
        <f>'Työaika jäsen 1'!J33+'Työaika jäsen 2'!J33+'Työaika jäsen 3'!J33+'Työaika jäsen 4'!J33</f>
        <v>0</v>
      </c>
      <c r="Q31" s="3">
        <f>'Työaika jäsen 1'!K33+'Työaika jäsen 2'!K33+'Työaika jäsen 3'!K33+'Työaika jäsen 4'!K33</f>
        <v>0</v>
      </c>
      <c r="R31" s="3">
        <f>'Työaika jäsen 1'!L33+'Työaika jäsen 2'!L33+'Työaika jäsen 3'!L33+'Työaika jäsen 4'!L33</f>
        <v>0</v>
      </c>
      <c r="S31" s="6">
        <f t="shared" si="5"/>
        <v>0</v>
      </c>
    </row>
    <row r="32" spans="1:19" ht="14.55" customHeight="1" x14ac:dyDescent="0.3">
      <c r="A32" s="30">
        <v>45979</v>
      </c>
      <c r="B32" s="3">
        <f>'Työaika jäsen 1'!B34</f>
        <v>0</v>
      </c>
      <c r="C32" s="3">
        <f>'Työaika jäsen 2'!B34</f>
        <v>0</v>
      </c>
      <c r="D32" s="3">
        <f>'Työaika jäsen 3'!B34</f>
        <v>0</v>
      </c>
      <c r="E32" s="3">
        <f>'Työaika jäsen 4'!B34</f>
        <v>0</v>
      </c>
      <c r="F32" s="3">
        <f t="shared" si="4"/>
        <v>0</v>
      </c>
      <c r="H32" s="30">
        <v>45964</v>
      </c>
      <c r="I32" s="3">
        <f>'Työaika jäsen 1'!C34+'Työaika jäsen 2'!C34+'Työaika jäsen 3'!C34+'Työaika jäsen 4'!C34</f>
        <v>0</v>
      </c>
      <c r="J32" s="3">
        <f>'Työaika jäsen 1'!D34+'Työaika jäsen 2'!D34+'Työaika jäsen 3'!D34+'Työaika jäsen 4'!D34</f>
        <v>0</v>
      </c>
      <c r="K32" s="3">
        <f>'Työaika jäsen 1'!E34+'Työaika jäsen 2'!E34+'Työaika jäsen 3'!E34+'Työaika jäsen 4'!E34</f>
        <v>0</v>
      </c>
      <c r="L32" s="3">
        <f>'Työaika jäsen 1'!F34+'Työaika jäsen 2'!F34+'Työaika jäsen 3'!F34+'Työaika jäsen 4'!F34</f>
        <v>0</v>
      </c>
      <c r="M32" s="3">
        <f>'Työaika jäsen 1'!G34+'Työaika jäsen 2'!G34+'Työaika jäsen 3'!G34+'Työaika jäsen 4'!G34</f>
        <v>0</v>
      </c>
      <c r="N32" s="3">
        <f>'Työaika jäsen 1'!H34+'Työaika jäsen 2'!H34+'Työaika jäsen 3'!H34+'Työaika jäsen 4'!H34</f>
        <v>0</v>
      </c>
      <c r="O32" s="3">
        <f>'Työaika jäsen 1'!I34+'Työaika jäsen 2'!I34+'Työaika jäsen 3'!I34+'Työaika jäsen 4'!I34</f>
        <v>0</v>
      </c>
      <c r="P32" s="3">
        <f>'Työaika jäsen 1'!J34+'Työaika jäsen 2'!J34+'Työaika jäsen 3'!J34+'Työaika jäsen 4'!J34</f>
        <v>0</v>
      </c>
      <c r="Q32" s="3">
        <f>'Työaika jäsen 1'!K34+'Työaika jäsen 2'!K34+'Työaika jäsen 3'!K34+'Työaika jäsen 4'!K34</f>
        <v>0</v>
      </c>
      <c r="R32" s="3">
        <f>'Työaika jäsen 1'!L34+'Työaika jäsen 2'!L34+'Työaika jäsen 3'!L34+'Työaika jäsen 4'!L34</f>
        <v>0</v>
      </c>
      <c r="S32" s="6">
        <f t="shared" si="5"/>
        <v>0</v>
      </c>
    </row>
    <row r="33" spans="1:19" ht="14.55" customHeight="1" x14ac:dyDescent="0.3">
      <c r="A33" s="30">
        <v>45980</v>
      </c>
      <c r="B33" s="3">
        <f>'Työaika jäsen 1'!B35</f>
        <v>0</v>
      </c>
      <c r="C33" s="3">
        <f>'Työaika jäsen 2'!B35</f>
        <v>0</v>
      </c>
      <c r="D33" s="3">
        <f>'Työaika jäsen 3'!B35</f>
        <v>0</v>
      </c>
      <c r="E33" s="3">
        <f>'Työaika jäsen 4'!B35</f>
        <v>0</v>
      </c>
      <c r="F33" s="3">
        <f t="shared" si="4"/>
        <v>0</v>
      </c>
      <c r="H33" s="30">
        <v>45965</v>
      </c>
      <c r="I33" s="3">
        <f>'Työaika jäsen 1'!C35+'Työaika jäsen 2'!C35+'Työaika jäsen 3'!C35+'Työaika jäsen 4'!C35</f>
        <v>0</v>
      </c>
      <c r="J33" s="3">
        <f>'Työaika jäsen 1'!D35+'Työaika jäsen 2'!D35+'Työaika jäsen 3'!D35+'Työaika jäsen 4'!D35</f>
        <v>0</v>
      </c>
      <c r="K33" s="3">
        <f>'Työaika jäsen 1'!E35+'Työaika jäsen 2'!E35+'Työaika jäsen 3'!E35+'Työaika jäsen 4'!E35</f>
        <v>0</v>
      </c>
      <c r="L33" s="3">
        <f>'Työaika jäsen 1'!F35+'Työaika jäsen 2'!F35+'Työaika jäsen 3'!F35+'Työaika jäsen 4'!F35</f>
        <v>0</v>
      </c>
      <c r="M33" s="3">
        <f>'Työaika jäsen 1'!G35+'Työaika jäsen 2'!G35+'Työaika jäsen 3'!G35+'Työaika jäsen 4'!G35</f>
        <v>0</v>
      </c>
      <c r="N33" s="3">
        <f>'Työaika jäsen 1'!H35+'Työaika jäsen 2'!H35+'Työaika jäsen 3'!H35+'Työaika jäsen 4'!H35</f>
        <v>0</v>
      </c>
      <c r="O33" s="3">
        <f>'Työaika jäsen 1'!I35+'Työaika jäsen 2'!I35+'Työaika jäsen 3'!I35+'Työaika jäsen 4'!I35</f>
        <v>0</v>
      </c>
      <c r="P33" s="3">
        <f>'Työaika jäsen 1'!J35+'Työaika jäsen 2'!J35+'Työaika jäsen 3'!J35+'Työaika jäsen 4'!J35</f>
        <v>0</v>
      </c>
      <c r="Q33" s="3">
        <f>'Työaika jäsen 1'!K35+'Työaika jäsen 2'!K35+'Työaika jäsen 3'!K35+'Työaika jäsen 4'!K35</f>
        <v>0</v>
      </c>
      <c r="R33" s="3">
        <f>'Työaika jäsen 1'!L35+'Työaika jäsen 2'!L35+'Työaika jäsen 3'!L35+'Työaika jäsen 4'!L35</f>
        <v>0</v>
      </c>
      <c r="S33" s="6">
        <f t="shared" si="5"/>
        <v>0</v>
      </c>
    </row>
    <row r="34" spans="1:19" ht="14.55" customHeight="1" x14ac:dyDescent="0.3">
      <c r="A34" s="30">
        <v>45981</v>
      </c>
      <c r="B34" s="3">
        <f>'Työaika jäsen 1'!B36</f>
        <v>0</v>
      </c>
      <c r="C34" s="3">
        <f>'Työaika jäsen 2'!B36</f>
        <v>0</v>
      </c>
      <c r="D34" s="3">
        <f>'Työaika jäsen 3'!B36</f>
        <v>0</v>
      </c>
      <c r="E34" s="3">
        <f>'Työaika jäsen 4'!B36</f>
        <v>0</v>
      </c>
      <c r="F34" s="3">
        <f t="shared" si="4"/>
        <v>0</v>
      </c>
      <c r="H34" s="30">
        <v>45966</v>
      </c>
      <c r="I34" s="3">
        <f>'Työaika jäsen 1'!C36+'Työaika jäsen 2'!C36+'Työaika jäsen 3'!C36+'Työaika jäsen 4'!C36</f>
        <v>0</v>
      </c>
      <c r="J34" s="3">
        <f>'Työaika jäsen 1'!D36+'Työaika jäsen 2'!D36+'Työaika jäsen 3'!D36+'Työaika jäsen 4'!D36</f>
        <v>0</v>
      </c>
      <c r="K34" s="3">
        <f>'Työaika jäsen 1'!E36+'Työaika jäsen 2'!E36+'Työaika jäsen 3'!E36+'Työaika jäsen 4'!E36</f>
        <v>0</v>
      </c>
      <c r="L34" s="3">
        <f>'Työaika jäsen 1'!F36+'Työaika jäsen 2'!F36+'Työaika jäsen 3'!F36+'Työaika jäsen 4'!F36</f>
        <v>0</v>
      </c>
      <c r="M34" s="3">
        <f>'Työaika jäsen 1'!G36+'Työaika jäsen 2'!G36+'Työaika jäsen 3'!G36+'Työaika jäsen 4'!G36</f>
        <v>0</v>
      </c>
      <c r="N34" s="3">
        <f>'Työaika jäsen 1'!H36+'Työaika jäsen 2'!H36+'Työaika jäsen 3'!H36+'Työaika jäsen 4'!H36</f>
        <v>0</v>
      </c>
      <c r="O34" s="3">
        <f>'Työaika jäsen 1'!I36+'Työaika jäsen 2'!I36+'Työaika jäsen 3'!I36+'Työaika jäsen 4'!I36</f>
        <v>0</v>
      </c>
      <c r="P34" s="3">
        <f>'Työaika jäsen 1'!J36+'Työaika jäsen 2'!J36+'Työaika jäsen 3'!J36+'Työaika jäsen 4'!J36</f>
        <v>0</v>
      </c>
      <c r="Q34" s="3">
        <f>'Työaika jäsen 1'!K36+'Työaika jäsen 2'!K36+'Työaika jäsen 3'!K36+'Työaika jäsen 4'!K36</f>
        <v>0</v>
      </c>
      <c r="R34" s="3">
        <f>'Työaika jäsen 1'!L36+'Työaika jäsen 2'!L36+'Työaika jäsen 3'!L36+'Työaika jäsen 4'!L36</f>
        <v>0</v>
      </c>
      <c r="S34" s="6">
        <f t="shared" si="5"/>
        <v>0</v>
      </c>
    </row>
    <row r="35" spans="1:19" ht="14.55" customHeight="1" x14ac:dyDescent="0.3">
      <c r="A35" s="30">
        <v>45982</v>
      </c>
      <c r="B35" s="3">
        <f>'Työaika jäsen 1'!B37</f>
        <v>0</v>
      </c>
      <c r="C35" s="3">
        <f>'Työaika jäsen 2'!B37</f>
        <v>0</v>
      </c>
      <c r="D35" s="3">
        <f>'Työaika jäsen 3'!B37</f>
        <v>0</v>
      </c>
      <c r="E35" s="3">
        <f>'Työaika jäsen 4'!B37</f>
        <v>0</v>
      </c>
      <c r="F35" s="3">
        <f t="shared" si="4"/>
        <v>0</v>
      </c>
      <c r="H35" s="30">
        <v>45967</v>
      </c>
      <c r="I35" s="3">
        <f>'Työaika jäsen 1'!C37+'Työaika jäsen 2'!C37+'Työaika jäsen 3'!C37+'Työaika jäsen 4'!C37</f>
        <v>0</v>
      </c>
      <c r="J35" s="3">
        <f>'Työaika jäsen 1'!D37+'Työaika jäsen 2'!D37+'Työaika jäsen 3'!D37+'Työaika jäsen 4'!D37</f>
        <v>0</v>
      </c>
      <c r="K35" s="3">
        <f>'Työaika jäsen 1'!E37+'Työaika jäsen 2'!E37+'Työaika jäsen 3'!E37+'Työaika jäsen 4'!E37</f>
        <v>0</v>
      </c>
      <c r="L35" s="3">
        <f>'Työaika jäsen 1'!F37+'Työaika jäsen 2'!F37+'Työaika jäsen 3'!F37+'Työaika jäsen 4'!F37</f>
        <v>0</v>
      </c>
      <c r="M35" s="3">
        <f>'Työaika jäsen 1'!G37+'Työaika jäsen 2'!G37+'Työaika jäsen 3'!G37+'Työaika jäsen 4'!G37</f>
        <v>0</v>
      </c>
      <c r="N35" s="3">
        <f>'Työaika jäsen 1'!H37+'Työaika jäsen 2'!H37+'Työaika jäsen 3'!H37+'Työaika jäsen 4'!H37</f>
        <v>0</v>
      </c>
      <c r="O35" s="3">
        <f>'Työaika jäsen 1'!I37+'Työaika jäsen 2'!I37+'Työaika jäsen 3'!I37+'Työaika jäsen 4'!I37</f>
        <v>0</v>
      </c>
      <c r="P35" s="3">
        <f>'Työaika jäsen 1'!J37+'Työaika jäsen 2'!J37+'Työaika jäsen 3'!J37+'Työaika jäsen 4'!J37</f>
        <v>0</v>
      </c>
      <c r="Q35" s="3">
        <f>'Työaika jäsen 1'!K37+'Työaika jäsen 2'!K37+'Työaika jäsen 3'!K37+'Työaika jäsen 4'!K37</f>
        <v>0</v>
      </c>
      <c r="R35" s="3">
        <f>'Työaika jäsen 1'!L37+'Työaika jäsen 2'!L37+'Työaika jäsen 3'!L37+'Työaika jäsen 4'!L37</f>
        <v>0</v>
      </c>
      <c r="S35" s="6">
        <f t="shared" si="5"/>
        <v>0</v>
      </c>
    </row>
    <row r="36" spans="1:19" ht="14.55" customHeight="1" x14ac:dyDescent="0.3">
      <c r="A36" s="30">
        <v>45983</v>
      </c>
      <c r="B36" s="3">
        <f>'Työaika jäsen 1'!B38</f>
        <v>0</v>
      </c>
      <c r="C36" s="3">
        <f>'Työaika jäsen 2'!B38</f>
        <v>0</v>
      </c>
      <c r="D36" s="3">
        <f>'Työaika jäsen 3'!B38</f>
        <v>0</v>
      </c>
      <c r="E36" s="3">
        <f>'Työaika jäsen 4'!B38</f>
        <v>0</v>
      </c>
      <c r="F36" s="3">
        <f t="shared" si="4"/>
        <v>0</v>
      </c>
      <c r="H36" s="30">
        <v>45968</v>
      </c>
      <c r="I36" s="3">
        <f>'Työaika jäsen 1'!C38+'Työaika jäsen 2'!C38+'Työaika jäsen 3'!C38+'Työaika jäsen 4'!C38</f>
        <v>0</v>
      </c>
      <c r="J36" s="3">
        <f>'Työaika jäsen 1'!D38+'Työaika jäsen 2'!D38+'Työaika jäsen 3'!D38+'Työaika jäsen 4'!D38</f>
        <v>0</v>
      </c>
      <c r="K36" s="3">
        <f>'Työaika jäsen 1'!E38+'Työaika jäsen 2'!E38+'Työaika jäsen 3'!E38+'Työaika jäsen 4'!E38</f>
        <v>0</v>
      </c>
      <c r="L36" s="3">
        <f>'Työaika jäsen 1'!F38+'Työaika jäsen 2'!F38+'Työaika jäsen 3'!F38+'Työaika jäsen 4'!F38</f>
        <v>0</v>
      </c>
      <c r="M36" s="3">
        <f>'Työaika jäsen 1'!G38+'Työaika jäsen 2'!G38+'Työaika jäsen 3'!G38+'Työaika jäsen 4'!G38</f>
        <v>0</v>
      </c>
      <c r="N36" s="3">
        <f>'Työaika jäsen 1'!H38+'Työaika jäsen 2'!H38+'Työaika jäsen 3'!H38+'Työaika jäsen 4'!H38</f>
        <v>0</v>
      </c>
      <c r="O36" s="3">
        <f>'Työaika jäsen 1'!I38+'Työaika jäsen 2'!I38+'Työaika jäsen 3'!I38+'Työaika jäsen 4'!I38</f>
        <v>0</v>
      </c>
      <c r="P36" s="3">
        <f>'Työaika jäsen 1'!J38+'Työaika jäsen 2'!J38+'Työaika jäsen 3'!J38+'Työaika jäsen 4'!J38</f>
        <v>0</v>
      </c>
      <c r="Q36" s="3">
        <f>'Työaika jäsen 1'!K38+'Työaika jäsen 2'!K38+'Työaika jäsen 3'!K38+'Työaika jäsen 4'!K38</f>
        <v>0</v>
      </c>
      <c r="R36" s="3">
        <f>'Työaika jäsen 1'!L38+'Työaika jäsen 2'!L38+'Työaika jäsen 3'!L38+'Työaika jäsen 4'!L38</f>
        <v>0</v>
      </c>
      <c r="S36" s="6">
        <f t="shared" si="5"/>
        <v>0</v>
      </c>
    </row>
    <row r="37" spans="1:19" ht="14.55" customHeight="1" x14ac:dyDescent="0.3">
      <c r="A37" s="30">
        <v>45984</v>
      </c>
      <c r="B37" s="3">
        <f>'Työaika jäsen 1'!B39</f>
        <v>0</v>
      </c>
      <c r="C37" s="3">
        <f>'Työaika jäsen 2'!B39</f>
        <v>0</v>
      </c>
      <c r="D37" s="3">
        <f>'Työaika jäsen 3'!B39</f>
        <v>0</v>
      </c>
      <c r="E37" s="3">
        <f>'Työaika jäsen 4'!B39</f>
        <v>0</v>
      </c>
      <c r="F37" s="3">
        <f t="shared" si="4"/>
        <v>0</v>
      </c>
      <c r="H37" s="30">
        <v>45969</v>
      </c>
      <c r="I37" s="3">
        <f>'Työaika jäsen 1'!C39+'Työaika jäsen 2'!C39+'Työaika jäsen 3'!C39+'Työaika jäsen 4'!C39</f>
        <v>0</v>
      </c>
      <c r="J37" s="3">
        <f>'Työaika jäsen 1'!D39+'Työaika jäsen 2'!D39+'Työaika jäsen 3'!D39+'Työaika jäsen 4'!D39</f>
        <v>0</v>
      </c>
      <c r="K37" s="3">
        <f>'Työaika jäsen 1'!E39+'Työaika jäsen 2'!E39+'Työaika jäsen 3'!E39+'Työaika jäsen 4'!E39</f>
        <v>0</v>
      </c>
      <c r="L37" s="3">
        <f>'Työaika jäsen 1'!F39+'Työaika jäsen 2'!F39+'Työaika jäsen 3'!F39+'Työaika jäsen 4'!F39</f>
        <v>0</v>
      </c>
      <c r="M37" s="3">
        <f>'Työaika jäsen 1'!G39+'Työaika jäsen 2'!G39+'Työaika jäsen 3'!G39+'Työaika jäsen 4'!G39</f>
        <v>0</v>
      </c>
      <c r="N37" s="3">
        <f>'Työaika jäsen 1'!H39+'Työaika jäsen 2'!H39+'Työaika jäsen 3'!H39+'Työaika jäsen 4'!H39</f>
        <v>0</v>
      </c>
      <c r="O37" s="3">
        <f>'Työaika jäsen 1'!I39+'Työaika jäsen 2'!I39+'Työaika jäsen 3'!I39+'Työaika jäsen 4'!I39</f>
        <v>0</v>
      </c>
      <c r="P37" s="3">
        <f>'Työaika jäsen 1'!J39+'Työaika jäsen 2'!J39+'Työaika jäsen 3'!J39+'Työaika jäsen 4'!J39</f>
        <v>0</v>
      </c>
      <c r="Q37" s="3">
        <f>'Työaika jäsen 1'!K39+'Työaika jäsen 2'!K39+'Työaika jäsen 3'!K39+'Työaika jäsen 4'!K39</f>
        <v>0</v>
      </c>
      <c r="R37" s="3">
        <f>'Työaika jäsen 1'!L39+'Työaika jäsen 2'!L39+'Työaika jäsen 3'!L39+'Työaika jäsen 4'!L39</f>
        <v>0</v>
      </c>
      <c r="S37" s="6">
        <f t="shared" si="5"/>
        <v>0</v>
      </c>
    </row>
    <row r="38" spans="1:19" ht="14.55" customHeight="1" x14ac:dyDescent="0.3">
      <c r="A38" s="30">
        <v>45985</v>
      </c>
      <c r="B38" s="3">
        <f>'Työaika jäsen 1'!B40</f>
        <v>0</v>
      </c>
      <c r="C38" s="3">
        <f>'Työaika jäsen 2'!B40</f>
        <v>0</v>
      </c>
      <c r="D38" s="3">
        <f>'Työaika jäsen 3'!B40</f>
        <v>0</v>
      </c>
      <c r="E38" s="3">
        <f>'Työaika jäsen 4'!B40</f>
        <v>0</v>
      </c>
      <c r="F38" s="3">
        <f t="shared" si="4"/>
        <v>0</v>
      </c>
      <c r="H38" s="30">
        <v>45970</v>
      </c>
      <c r="I38" s="3">
        <f>'Työaika jäsen 1'!C40+'Työaika jäsen 2'!C40+'Työaika jäsen 3'!C40+'Työaika jäsen 4'!C40</f>
        <v>0</v>
      </c>
      <c r="J38" s="3">
        <f>'Työaika jäsen 1'!D40+'Työaika jäsen 2'!D40+'Työaika jäsen 3'!D40+'Työaika jäsen 4'!D40</f>
        <v>0</v>
      </c>
      <c r="K38" s="3">
        <f>'Työaika jäsen 1'!E40+'Työaika jäsen 2'!E40+'Työaika jäsen 3'!E40+'Työaika jäsen 4'!E40</f>
        <v>0</v>
      </c>
      <c r="L38" s="3">
        <f>'Työaika jäsen 1'!F40+'Työaika jäsen 2'!F40+'Työaika jäsen 3'!F40+'Työaika jäsen 4'!F40</f>
        <v>0</v>
      </c>
      <c r="M38" s="3">
        <f>'Työaika jäsen 1'!G40+'Työaika jäsen 2'!G40+'Työaika jäsen 3'!G40+'Työaika jäsen 4'!G40</f>
        <v>0</v>
      </c>
      <c r="N38" s="3">
        <f>'Työaika jäsen 1'!H40+'Työaika jäsen 2'!H40+'Työaika jäsen 3'!H40+'Työaika jäsen 4'!H40</f>
        <v>0</v>
      </c>
      <c r="O38" s="3">
        <f>'Työaika jäsen 1'!I40+'Työaika jäsen 2'!I40+'Työaika jäsen 3'!I40+'Työaika jäsen 4'!I40</f>
        <v>0</v>
      </c>
      <c r="P38" s="3">
        <f>'Työaika jäsen 1'!J40+'Työaika jäsen 2'!J40+'Työaika jäsen 3'!J40+'Työaika jäsen 4'!J40</f>
        <v>0</v>
      </c>
      <c r="Q38" s="3">
        <f>'Työaika jäsen 1'!K40+'Työaika jäsen 2'!K40+'Työaika jäsen 3'!K40+'Työaika jäsen 4'!K40</f>
        <v>0</v>
      </c>
      <c r="R38" s="3">
        <f>'Työaika jäsen 1'!L40+'Työaika jäsen 2'!L40+'Työaika jäsen 3'!L40+'Työaika jäsen 4'!L40</f>
        <v>0</v>
      </c>
      <c r="S38" s="6">
        <f t="shared" si="5"/>
        <v>0</v>
      </c>
    </row>
    <row r="39" spans="1:19" ht="14.55" customHeight="1" x14ac:dyDescent="0.3">
      <c r="A39" s="30">
        <v>45986</v>
      </c>
      <c r="B39" s="3">
        <f>'Työaika jäsen 1'!B41</f>
        <v>0</v>
      </c>
      <c r="C39" s="3">
        <f>'Työaika jäsen 2'!B41</f>
        <v>0</v>
      </c>
      <c r="D39" s="3">
        <f>'Työaika jäsen 3'!B41</f>
        <v>0</v>
      </c>
      <c r="E39" s="3">
        <f>'Työaika jäsen 4'!B41</f>
        <v>0</v>
      </c>
      <c r="F39" s="3">
        <f t="shared" si="4"/>
        <v>0</v>
      </c>
      <c r="H39" s="30">
        <v>45971</v>
      </c>
      <c r="I39" s="3">
        <f>'Työaika jäsen 1'!C41+'Työaika jäsen 2'!C41+'Työaika jäsen 3'!C41+'Työaika jäsen 4'!C41</f>
        <v>0</v>
      </c>
      <c r="J39" s="3">
        <f>'Työaika jäsen 1'!D41+'Työaika jäsen 2'!D41+'Työaika jäsen 3'!D41+'Työaika jäsen 4'!D41</f>
        <v>0</v>
      </c>
      <c r="K39" s="3">
        <f>'Työaika jäsen 1'!E41+'Työaika jäsen 2'!E41+'Työaika jäsen 3'!E41+'Työaika jäsen 4'!E41</f>
        <v>0</v>
      </c>
      <c r="L39" s="3">
        <f>'Työaika jäsen 1'!F41+'Työaika jäsen 2'!F41+'Työaika jäsen 3'!F41+'Työaika jäsen 4'!F41</f>
        <v>0</v>
      </c>
      <c r="M39" s="3">
        <f>'Työaika jäsen 1'!G41+'Työaika jäsen 2'!G41+'Työaika jäsen 3'!G41+'Työaika jäsen 4'!G41</f>
        <v>0</v>
      </c>
      <c r="N39" s="3">
        <f>'Työaika jäsen 1'!H41+'Työaika jäsen 2'!H41+'Työaika jäsen 3'!H41+'Työaika jäsen 4'!H41</f>
        <v>0</v>
      </c>
      <c r="O39" s="3">
        <f>'Työaika jäsen 1'!I41+'Työaika jäsen 2'!I41+'Työaika jäsen 3'!I41+'Työaika jäsen 4'!I41</f>
        <v>0</v>
      </c>
      <c r="P39" s="3">
        <f>'Työaika jäsen 1'!J41+'Työaika jäsen 2'!J41+'Työaika jäsen 3'!J41+'Työaika jäsen 4'!J41</f>
        <v>0</v>
      </c>
      <c r="Q39" s="3">
        <f>'Työaika jäsen 1'!K41+'Työaika jäsen 2'!K41+'Työaika jäsen 3'!K41+'Työaika jäsen 4'!K41</f>
        <v>0</v>
      </c>
      <c r="R39" s="3">
        <f>'Työaika jäsen 1'!L41+'Työaika jäsen 2'!L41+'Työaika jäsen 3'!L41+'Työaika jäsen 4'!L41</f>
        <v>0</v>
      </c>
      <c r="S39" s="6">
        <f t="shared" si="5"/>
        <v>0</v>
      </c>
    </row>
    <row r="40" spans="1:19" ht="14.55" customHeight="1" x14ac:dyDescent="0.3">
      <c r="A40" s="47" t="s">
        <v>29</v>
      </c>
      <c r="B40" s="48">
        <f>SUM(B25:B39)</f>
        <v>0</v>
      </c>
      <c r="C40" s="48">
        <f t="shared" ref="C40:E40" si="6">SUM(C25:C39)</f>
        <v>0</v>
      </c>
      <c r="D40" s="48">
        <f t="shared" si="6"/>
        <v>0</v>
      </c>
      <c r="E40" s="48">
        <f t="shared" si="6"/>
        <v>0</v>
      </c>
      <c r="F40" s="48">
        <f>SUM(F25:F39)</f>
        <v>0</v>
      </c>
      <c r="H40" s="47" t="s">
        <v>29</v>
      </c>
      <c r="I40" s="48">
        <f t="shared" ref="I40" si="7">SUM(I25:I39)</f>
        <v>0</v>
      </c>
      <c r="J40" s="48">
        <f t="shared" ref="J40" si="8">SUM(J25:J39)</f>
        <v>0</v>
      </c>
      <c r="K40" s="48">
        <f t="shared" ref="K40" si="9">SUM(K25:K39)</f>
        <v>0</v>
      </c>
      <c r="L40" s="48">
        <f t="shared" ref="L40" si="10">SUM(L25:L39)</f>
        <v>0</v>
      </c>
      <c r="M40" s="48">
        <f t="shared" ref="M40" si="11">SUM(M25:M39)</f>
        <v>0</v>
      </c>
      <c r="N40" s="48">
        <f t="shared" ref="N40" si="12">SUM(N25:N39)</f>
        <v>0</v>
      </c>
      <c r="O40" s="48">
        <f t="shared" ref="O40" si="13">SUM(O25:O39)</f>
        <v>0</v>
      </c>
      <c r="P40" s="48">
        <f t="shared" ref="P40" si="14">SUM(P25:P39)</f>
        <v>0</v>
      </c>
      <c r="Q40" s="48">
        <f t="shared" ref="Q40" si="15">SUM(Q25:Q39)</f>
        <v>0</v>
      </c>
      <c r="R40" s="48">
        <f t="shared" ref="R40" si="16">SUM(R25:R39)</f>
        <v>0</v>
      </c>
      <c r="S40" s="48">
        <f>SUM(S25:S39)</f>
        <v>0</v>
      </c>
    </row>
    <row r="41" spans="1:19" s="33" customFormat="1" ht="14.55" customHeight="1" x14ac:dyDescent="0.3">
      <c r="A41" s="31" t="s">
        <v>20</v>
      </c>
      <c r="B41" s="32">
        <f>B22+B40</f>
        <v>5</v>
      </c>
      <c r="C41" s="32">
        <f t="shared" ref="C41:E41" si="17">C22+C40</f>
        <v>0</v>
      </c>
      <c r="D41" s="32">
        <f t="shared" si="17"/>
        <v>0</v>
      </c>
      <c r="E41" s="32">
        <f t="shared" si="17"/>
        <v>0</v>
      </c>
      <c r="F41" s="32">
        <f>F22+F40</f>
        <v>5</v>
      </c>
      <c r="H41" s="31"/>
      <c r="I41" s="32"/>
      <c r="J41" s="32"/>
      <c r="K41" s="32"/>
      <c r="L41" s="32"/>
      <c r="M41" s="32"/>
      <c r="N41" s="34"/>
      <c r="O41" s="34"/>
      <c r="P41" s="34"/>
      <c r="Q41" s="34"/>
      <c r="R41" s="34"/>
      <c r="S41" s="34"/>
    </row>
    <row r="43" spans="1:19" ht="14.55" customHeight="1" x14ac:dyDescent="0.3">
      <c r="A43" s="67" t="s">
        <v>31</v>
      </c>
      <c r="B43" s="61" t="s">
        <v>25</v>
      </c>
      <c r="C43" s="61" t="s">
        <v>26</v>
      </c>
      <c r="D43" s="61" t="s">
        <v>27</v>
      </c>
      <c r="E43" s="61" t="s">
        <v>28</v>
      </c>
      <c r="F43" s="61" t="s">
        <v>11</v>
      </c>
      <c r="H43" s="67" t="s">
        <v>31</v>
      </c>
      <c r="I43" s="61" t="s">
        <v>66</v>
      </c>
      <c r="J43" s="61" t="s">
        <v>67</v>
      </c>
      <c r="K43" s="61" t="s">
        <v>68</v>
      </c>
      <c r="L43" s="61" t="s">
        <v>69</v>
      </c>
      <c r="M43" s="61" t="s">
        <v>70</v>
      </c>
      <c r="N43" s="61" t="s">
        <v>71</v>
      </c>
      <c r="O43" s="61" t="s">
        <v>72</v>
      </c>
      <c r="P43" s="61" t="s">
        <v>73</v>
      </c>
      <c r="Q43" s="61" t="s">
        <v>74</v>
      </c>
      <c r="R43" s="61" t="s">
        <v>75</v>
      </c>
      <c r="S43" s="61" t="s">
        <v>11</v>
      </c>
    </row>
    <row r="44" spans="1:19" ht="14.55" customHeight="1" x14ac:dyDescent="0.3">
      <c r="A44" s="30">
        <v>45987</v>
      </c>
      <c r="B44" s="3">
        <f>'Työaika jäsen 1'!B46</f>
        <v>0</v>
      </c>
      <c r="C44" s="3">
        <f>'Työaika jäsen 2'!B46</f>
        <v>0</v>
      </c>
      <c r="D44" s="3">
        <f>'Työaika jäsen 3'!B46</f>
        <v>0</v>
      </c>
      <c r="E44" s="3">
        <f>'Työaika jäsen 4'!B46</f>
        <v>0</v>
      </c>
      <c r="F44" s="3">
        <f>SUM(B44:E44)</f>
        <v>0</v>
      </c>
      <c r="H44" s="30">
        <v>45957</v>
      </c>
      <c r="I44" s="3">
        <f>'Työaika jäsen 1'!C46+'Työaika jäsen 2'!C46+'Työaika jäsen 3'!C46+'Työaika jäsen 4'!C46</f>
        <v>0</v>
      </c>
      <c r="J44" s="3">
        <f>'Työaika jäsen 1'!D46+'Työaika jäsen 2'!D46+'Työaika jäsen 3'!D46+'Työaika jäsen 4'!D46</f>
        <v>0</v>
      </c>
      <c r="K44" s="3">
        <f>'Työaika jäsen 1'!E46+'Työaika jäsen 2'!E46+'Työaika jäsen 3'!E46+'Työaika jäsen 4'!E46</f>
        <v>0</v>
      </c>
      <c r="L44" s="3">
        <f>'Työaika jäsen 1'!F46+'Työaika jäsen 2'!F46+'Työaika jäsen 3'!F46+'Työaika jäsen 4'!F46</f>
        <v>0</v>
      </c>
      <c r="M44" s="3">
        <f>'Työaika jäsen 1'!G46+'Työaika jäsen 2'!G46+'Työaika jäsen 3'!G46+'Työaika jäsen 4'!G46</f>
        <v>0</v>
      </c>
      <c r="N44" s="3">
        <f>'Työaika jäsen 1'!H46+'Työaika jäsen 2'!H46+'Työaika jäsen 3'!H46+'Työaika jäsen 4'!H46</f>
        <v>0</v>
      </c>
      <c r="O44" s="3">
        <f>'Työaika jäsen 1'!I46+'Työaika jäsen 2'!I46+'Työaika jäsen 3'!I46+'Työaika jäsen 4'!I46</f>
        <v>0</v>
      </c>
      <c r="P44" s="3">
        <f>'Työaika jäsen 1'!J46+'Työaika jäsen 2'!J46+'Työaika jäsen 3'!J46+'Työaika jäsen 4'!J46</f>
        <v>0</v>
      </c>
      <c r="Q44" s="3">
        <f>'Työaika jäsen 1'!K46+'Työaika jäsen 2'!K46+'Työaika jäsen 3'!K46+'Työaika jäsen 4'!K46</f>
        <v>0</v>
      </c>
      <c r="R44" s="3">
        <f>'Työaika jäsen 1'!L46+'Työaika jäsen 2'!L46+'Työaika jäsen 3'!L46+'Työaika jäsen 4'!L46</f>
        <v>0</v>
      </c>
      <c r="S44" s="6">
        <f>SUM(I44:R44)</f>
        <v>0</v>
      </c>
    </row>
    <row r="45" spans="1:19" ht="14.55" customHeight="1" x14ac:dyDescent="0.3">
      <c r="A45" s="30">
        <v>45988</v>
      </c>
      <c r="B45" s="3">
        <f>'Työaika jäsen 1'!B47</f>
        <v>0</v>
      </c>
      <c r="C45" s="3">
        <f>'Työaika jäsen 2'!B47</f>
        <v>0</v>
      </c>
      <c r="D45" s="3">
        <f>'Työaika jäsen 3'!B47</f>
        <v>0</v>
      </c>
      <c r="E45" s="3">
        <f>'Työaika jäsen 4'!B47</f>
        <v>0</v>
      </c>
      <c r="F45" s="3">
        <f t="shared" ref="F45:F58" si="18">SUM(B45:E45)</f>
        <v>0</v>
      </c>
      <c r="H45" s="30">
        <v>45958</v>
      </c>
      <c r="I45" s="3">
        <f>'Työaika jäsen 1'!C47+'Työaika jäsen 2'!C47+'Työaika jäsen 3'!C47+'Työaika jäsen 4'!C47</f>
        <v>0</v>
      </c>
      <c r="J45" s="3">
        <f>'Työaika jäsen 1'!D47+'Työaika jäsen 2'!D47+'Työaika jäsen 3'!D47+'Työaika jäsen 4'!D47</f>
        <v>0</v>
      </c>
      <c r="K45" s="3">
        <f>'Työaika jäsen 1'!E47+'Työaika jäsen 2'!E47+'Työaika jäsen 3'!E47+'Työaika jäsen 4'!E47</f>
        <v>0</v>
      </c>
      <c r="L45" s="3">
        <f>'Työaika jäsen 1'!F47+'Työaika jäsen 2'!F47+'Työaika jäsen 3'!F47+'Työaika jäsen 4'!F47</f>
        <v>0</v>
      </c>
      <c r="M45" s="3">
        <f>'Työaika jäsen 1'!G47+'Työaika jäsen 2'!G47+'Työaika jäsen 3'!G47+'Työaika jäsen 4'!G47</f>
        <v>0</v>
      </c>
      <c r="N45" s="3">
        <f>'Työaika jäsen 1'!H47+'Työaika jäsen 2'!H47+'Työaika jäsen 3'!H47+'Työaika jäsen 4'!H47</f>
        <v>0</v>
      </c>
      <c r="O45" s="3">
        <f>'Työaika jäsen 1'!I47+'Työaika jäsen 2'!I47+'Työaika jäsen 3'!I47+'Työaika jäsen 4'!I47</f>
        <v>0</v>
      </c>
      <c r="P45" s="3">
        <f>'Työaika jäsen 1'!J47+'Työaika jäsen 2'!J47+'Työaika jäsen 3'!J47+'Työaika jäsen 4'!J47</f>
        <v>0</v>
      </c>
      <c r="Q45" s="3">
        <f>'Työaika jäsen 1'!K47+'Työaika jäsen 2'!K47+'Työaika jäsen 3'!K47+'Työaika jäsen 4'!K47</f>
        <v>0</v>
      </c>
      <c r="R45" s="3">
        <f>'Työaika jäsen 1'!L47+'Työaika jäsen 2'!L47+'Työaika jäsen 3'!L47+'Työaika jäsen 4'!L47</f>
        <v>0</v>
      </c>
      <c r="S45" s="6">
        <f t="shared" ref="S45:S58" si="19">SUM(I45:R45)</f>
        <v>0</v>
      </c>
    </row>
    <row r="46" spans="1:19" ht="14.55" customHeight="1" x14ac:dyDescent="0.3">
      <c r="A46" s="30">
        <v>45989</v>
      </c>
      <c r="B46" s="3">
        <f>'Työaika jäsen 1'!B48</f>
        <v>0</v>
      </c>
      <c r="C46" s="3">
        <f>'Työaika jäsen 2'!B48</f>
        <v>0</v>
      </c>
      <c r="D46" s="3">
        <f>'Työaika jäsen 3'!B48</f>
        <v>0</v>
      </c>
      <c r="E46" s="3">
        <f>'Työaika jäsen 4'!B48</f>
        <v>0</v>
      </c>
      <c r="F46" s="3">
        <f t="shared" si="18"/>
        <v>0</v>
      </c>
      <c r="H46" s="30">
        <v>45959</v>
      </c>
      <c r="I46" s="3">
        <f>'Työaika jäsen 1'!C48+'Työaika jäsen 2'!C48+'Työaika jäsen 3'!C48+'Työaika jäsen 4'!C48</f>
        <v>0</v>
      </c>
      <c r="J46" s="3">
        <f>'Työaika jäsen 1'!D48+'Työaika jäsen 2'!D48+'Työaika jäsen 3'!D48+'Työaika jäsen 4'!D48</f>
        <v>0</v>
      </c>
      <c r="K46" s="3">
        <f>'Työaika jäsen 1'!E48+'Työaika jäsen 2'!E48+'Työaika jäsen 3'!E48+'Työaika jäsen 4'!E48</f>
        <v>0</v>
      </c>
      <c r="L46" s="3">
        <f>'Työaika jäsen 1'!F48+'Työaika jäsen 2'!F48+'Työaika jäsen 3'!F48+'Työaika jäsen 4'!F48</f>
        <v>0</v>
      </c>
      <c r="M46" s="3">
        <f>'Työaika jäsen 1'!G48+'Työaika jäsen 2'!G48+'Työaika jäsen 3'!G48+'Työaika jäsen 4'!G48</f>
        <v>0</v>
      </c>
      <c r="N46" s="3">
        <f>'Työaika jäsen 1'!H48+'Työaika jäsen 2'!H48+'Työaika jäsen 3'!H48+'Työaika jäsen 4'!H48</f>
        <v>0</v>
      </c>
      <c r="O46" s="3">
        <f>'Työaika jäsen 1'!I48+'Työaika jäsen 2'!I48+'Työaika jäsen 3'!I48+'Työaika jäsen 4'!I48</f>
        <v>0</v>
      </c>
      <c r="P46" s="3">
        <f>'Työaika jäsen 1'!J48+'Työaika jäsen 2'!J48+'Työaika jäsen 3'!J48+'Työaika jäsen 4'!J48</f>
        <v>0</v>
      </c>
      <c r="Q46" s="3">
        <f>'Työaika jäsen 1'!K48+'Työaika jäsen 2'!K48+'Työaika jäsen 3'!K48+'Työaika jäsen 4'!K48</f>
        <v>0</v>
      </c>
      <c r="R46" s="3">
        <f>'Työaika jäsen 1'!L48+'Työaika jäsen 2'!L48+'Työaika jäsen 3'!L48+'Työaika jäsen 4'!L48</f>
        <v>0</v>
      </c>
      <c r="S46" s="6">
        <f t="shared" si="19"/>
        <v>0</v>
      </c>
    </row>
    <row r="47" spans="1:19" ht="14.55" customHeight="1" x14ac:dyDescent="0.3">
      <c r="A47" s="30">
        <v>45990</v>
      </c>
      <c r="B47" s="3">
        <f>'Työaika jäsen 1'!B49</f>
        <v>0</v>
      </c>
      <c r="C47" s="3">
        <f>'Työaika jäsen 2'!B49</f>
        <v>0</v>
      </c>
      <c r="D47" s="3">
        <f>'Työaika jäsen 3'!B49</f>
        <v>0</v>
      </c>
      <c r="E47" s="3">
        <f>'Työaika jäsen 4'!B49</f>
        <v>0</v>
      </c>
      <c r="F47" s="3">
        <f t="shared" si="18"/>
        <v>0</v>
      </c>
      <c r="H47" s="30">
        <v>45960</v>
      </c>
      <c r="I47" s="3">
        <f>'Työaika jäsen 1'!C49+'Työaika jäsen 2'!C49+'Työaika jäsen 3'!C49+'Työaika jäsen 4'!C49</f>
        <v>0</v>
      </c>
      <c r="J47" s="3">
        <f>'Työaika jäsen 1'!D49+'Työaika jäsen 2'!D49+'Työaika jäsen 3'!D49+'Työaika jäsen 4'!D49</f>
        <v>0</v>
      </c>
      <c r="K47" s="3">
        <f>'Työaika jäsen 1'!E49+'Työaika jäsen 2'!E49+'Työaika jäsen 3'!E49+'Työaika jäsen 4'!E49</f>
        <v>0</v>
      </c>
      <c r="L47" s="3">
        <f>'Työaika jäsen 1'!F49+'Työaika jäsen 2'!F49+'Työaika jäsen 3'!F49+'Työaika jäsen 4'!F49</f>
        <v>0</v>
      </c>
      <c r="M47" s="3">
        <f>'Työaika jäsen 1'!G49+'Työaika jäsen 2'!G49+'Työaika jäsen 3'!G49+'Työaika jäsen 4'!G49</f>
        <v>0</v>
      </c>
      <c r="N47" s="3">
        <f>'Työaika jäsen 1'!H49+'Työaika jäsen 2'!H49+'Työaika jäsen 3'!H49+'Työaika jäsen 4'!H49</f>
        <v>0</v>
      </c>
      <c r="O47" s="3">
        <f>'Työaika jäsen 1'!I49+'Työaika jäsen 2'!I49+'Työaika jäsen 3'!I49+'Työaika jäsen 4'!I49</f>
        <v>0</v>
      </c>
      <c r="P47" s="3">
        <f>'Työaika jäsen 1'!J49+'Työaika jäsen 2'!J49+'Työaika jäsen 3'!J49+'Työaika jäsen 4'!J49</f>
        <v>0</v>
      </c>
      <c r="Q47" s="3">
        <f>'Työaika jäsen 1'!K49+'Työaika jäsen 2'!K49+'Työaika jäsen 3'!K49+'Työaika jäsen 4'!K49</f>
        <v>0</v>
      </c>
      <c r="R47" s="3">
        <f>'Työaika jäsen 1'!L49+'Työaika jäsen 2'!L49+'Työaika jäsen 3'!L49+'Työaika jäsen 4'!L49</f>
        <v>0</v>
      </c>
      <c r="S47" s="6">
        <f t="shared" si="19"/>
        <v>0</v>
      </c>
    </row>
    <row r="48" spans="1:19" ht="14.55" customHeight="1" x14ac:dyDescent="0.3">
      <c r="A48" s="30">
        <v>45991</v>
      </c>
      <c r="B48" s="3">
        <f>'Työaika jäsen 1'!B50</f>
        <v>0</v>
      </c>
      <c r="C48" s="3">
        <f>'Työaika jäsen 2'!B50</f>
        <v>0</v>
      </c>
      <c r="D48" s="3">
        <f>'Työaika jäsen 3'!B50</f>
        <v>0</v>
      </c>
      <c r="E48" s="3">
        <f>'Työaika jäsen 4'!B50</f>
        <v>0</v>
      </c>
      <c r="F48" s="3">
        <f t="shared" si="18"/>
        <v>0</v>
      </c>
      <c r="H48" s="30">
        <v>45961</v>
      </c>
      <c r="I48" s="3">
        <f>'Työaika jäsen 1'!C50+'Työaika jäsen 2'!C50+'Työaika jäsen 3'!C50+'Työaika jäsen 4'!C50</f>
        <v>0</v>
      </c>
      <c r="J48" s="3">
        <f>'Työaika jäsen 1'!D50+'Työaika jäsen 2'!D50+'Työaika jäsen 3'!D50+'Työaika jäsen 4'!D50</f>
        <v>0</v>
      </c>
      <c r="K48" s="3">
        <f>'Työaika jäsen 1'!E50+'Työaika jäsen 2'!E50+'Työaika jäsen 3'!E50+'Työaika jäsen 4'!E50</f>
        <v>0</v>
      </c>
      <c r="L48" s="3">
        <f>'Työaika jäsen 1'!F50+'Työaika jäsen 2'!F50+'Työaika jäsen 3'!F50+'Työaika jäsen 4'!F50</f>
        <v>0</v>
      </c>
      <c r="M48" s="3">
        <f>'Työaika jäsen 1'!G50+'Työaika jäsen 2'!G50+'Työaika jäsen 3'!G50+'Työaika jäsen 4'!G50</f>
        <v>0</v>
      </c>
      <c r="N48" s="3">
        <f>'Työaika jäsen 1'!H50+'Työaika jäsen 2'!H50+'Työaika jäsen 3'!H50+'Työaika jäsen 4'!H50</f>
        <v>0</v>
      </c>
      <c r="O48" s="3">
        <f>'Työaika jäsen 1'!I50+'Työaika jäsen 2'!I50+'Työaika jäsen 3'!I50+'Työaika jäsen 4'!I50</f>
        <v>0</v>
      </c>
      <c r="P48" s="3">
        <f>'Työaika jäsen 1'!J50+'Työaika jäsen 2'!J50+'Työaika jäsen 3'!J50+'Työaika jäsen 4'!J50</f>
        <v>0</v>
      </c>
      <c r="Q48" s="3">
        <f>'Työaika jäsen 1'!K50+'Työaika jäsen 2'!K50+'Työaika jäsen 3'!K50+'Työaika jäsen 4'!K50</f>
        <v>0</v>
      </c>
      <c r="R48" s="3">
        <f>'Työaika jäsen 1'!L50+'Työaika jäsen 2'!L50+'Työaika jäsen 3'!L50+'Työaika jäsen 4'!L50</f>
        <v>0</v>
      </c>
      <c r="S48" s="6">
        <f t="shared" si="19"/>
        <v>0</v>
      </c>
    </row>
    <row r="49" spans="1:19" ht="14.55" customHeight="1" x14ac:dyDescent="0.3">
      <c r="A49" s="30">
        <v>45992</v>
      </c>
      <c r="B49" s="3">
        <f>'Työaika jäsen 1'!B51</f>
        <v>0</v>
      </c>
      <c r="C49" s="3">
        <f>'Työaika jäsen 2'!B51</f>
        <v>0</v>
      </c>
      <c r="D49" s="3">
        <f>'Työaika jäsen 3'!B51</f>
        <v>0</v>
      </c>
      <c r="E49" s="3">
        <f>'Työaika jäsen 4'!B51</f>
        <v>0</v>
      </c>
      <c r="F49" s="3">
        <f t="shared" si="18"/>
        <v>0</v>
      </c>
      <c r="H49" s="30">
        <v>45962</v>
      </c>
      <c r="I49" s="3">
        <f>'Työaika jäsen 1'!C51+'Työaika jäsen 2'!C51+'Työaika jäsen 3'!C51+'Työaika jäsen 4'!C51</f>
        <v>0</v>
      </c>
      <c r="J49" s="3">
        <f>'Työaika jäsen 1'!D51+'Työaika jäsen 2'!D51+'Työaika jäsen 3'!D51+'Työaika jäsen 4'!D51</f>
        <v>0</v>
      </c>
      <c r="K49" s="3">
        <f>'Työaika jäsen 1'!E51+'Työaika jäsen 2'!E51+'Työaika jäsen 3'!E51+'Työaika jäsen 4'!E51</f>
        <v>0</v>
      </c>
      <c r="L49" s="3">
        <f>'Työaika jäsen 1'!F51+'Työaika jäsen 2'!F51+'Työaika jäsen 3'!F51+'Työaika jäsen 4'!F51</f>
        <v>0</v>
      </c>
      <c r="M49" s="3">
        <f>'Työaika jäsen 1'!G51+'Työaika jäsen 2'!G51+'Työaika jäsen 3'!G51+'Työaika jäsen 4'!G51</f>
        <v>0</v>
      </c>
      <c r="N49" s="3">
        <f>'Työaika jäsen 1'!H51+'Työaika jäsen 2'!H51+'Työaika jäsen 3'!H51+'Työaika jäsen 4'!H51</f>
        <v>0</v>
      </c>
      <c r="O49" s="3">
        <f>'Työaika jäsen 1'!I51+'Työaika jäsen 2'!I51+'Työaika jäsen 3'!I51+'Työaika jäsen 4'!I51</f>
        <v>0</v>
      </c>
      <c r="P49" s="3">
        <f>'Työaika jäsen 1'!J51+'Työaika jäsen 2'!J51+'Työaika jäsen 3'!J51+'Työaika jäsen 4'!J51</f>
        <v>0</v>
      </c>
      <c r="Q49" s="3">
        <f>'Työaika jäsen 1'!K51+'Työaika jäsen 2'!K51+'Työaika jäsen 3'!K51+'Työaika jäsen 4'!K51</f>
        <v>0</v>
      </c>
      <c r="R49" s="3">
        <f>'Työaika jäsen 1'!L51+'Työaika jäsen 2'!L51+'Työaika jäsen 3'!L51+'Työaika jäsen 4'!L51</f>
        <v>0</v>
      </c>
      <c r="S49" s="6">
        <f t="shared" si="19"/>
        <v>0</v>
      </c>
    </row>
    <row r="50" spans="1:19" ht="14.55" customHeight="1" x14ac:dyDescent="0.3">
      <c r="A50" s="30">
        <v>45993</v>
      </c>
      <c r="B50" s="3">
        <f>'Työaika jäsen 1'!B52</f>
        <v>0</v>
      </c>
      <c r="C50" s="3">
        <f>'Työaika jäsen 2'!B52</f>
        <v>0</v>
      </c>
      <c r="D50" s="3">
        <f>'Työaika jäsen 3'!B52</f>
        <v>0</v>
      </c>
      <c r="E50" s="3">
        <f>'Työaika jäsen 4'!B52</f>
        <v>0</v>
      </c>
      <c r="F50" s="3">
        <f t="shared" si="18"/>
        <v>0</v>
      </c>
      <c r="H50" s="30">
        <v>45963</v>
      </c>
      <c r="I50" s="3">
        <f>'Työaika jäsen 1'!C52+'Työaika jäsen 2'!C52+'Työaika jäsen 3'!C52+'Työaika jäsen 4'!C52</f>
        <v>0</v>
      </c>
      <c r="J50" s="3">
        <f>'Työaika jäsen 1'!D52+'Työaika jäsen 2'!D52+'Työaika jäsen 3'!D52+'Työaika jäsen 4'!D52</f>
        <v>0</v>
      </c>
      <c r="K50" s="3">
        <f>'Työaika jäsen 1'!E52+'Työaika jäsen 2'!E52+'Työaika jäsen 3'!E52+'Työaika jäsen 4'!E52</f>
        <v>0</v>
      </c>
      <c r="L50" s="3">
        <f>'Työaika jäsen 1'!F52+'Työaika jäsen 2'!F52+'Työaika jäsen 3'!F52+'Työaika jäsen 4'!F52</f>
        <v>0</v>
      </c>
      <c r="M50" s="3">
        <f>'Työaika jäsen 1'!G52+'Työaika jäsen 2'!G52+'Työaika jäsen 3'!G52+'Työaika jäsen 4'!G52</f>
        <v>0</v>
      </c>
      <c r="N50" s="3">
        <f>'Työaika jäsen 1'!H52+'Työaika jäsen 2'!H52+'Työaika jäsen 3'!H52+'Työaika jäsen 4'!H52</f>
        <v>0</v>
      </c>
      <c r="O50" s="3">
        <f>'Työaika jäsen 1'!I52+'Työaika jäsen 2'!I52+'Työaika jäsen 3'!I52+'Työaika jäsen 4'!I52</f>
        <v>0</v>
      </c>
      <c r="P50" s="3">
        <f>'Työaika jäsen 1'!J52+'Työaika jäsen 2'!J52+'Työaika jäsen 3'!J52+'Työaika jäsen 4'!J52</f>
        <v>0</v>
      </c>
      <c r="Q50" s="3">
        <f>'Työaika jäsen 1'!K52+'Työaika jäsen 2'!K52+'Työaika jäsen 3'!K52+'Työaika jäsen 4'!K52</f>
        <v>0</v>
      </c>
      <c r="R50" s="3">
        <f>'Työaika jäsen 1'!L52+'Työaika jäsen 2'!L52+'Työaika jäsen 3'!L52+'Työaika jäsen 4'!L52</f>
        <v>0</v>
      </c>
      <c r="S50" s="6">
        <f t="shared" si="19"/>
        <v>0</v>
      </c>
    </row>
    <row r="51" spans="1:19" ht="14.55" customHeight="1" x14ac:dyDescent="0.3">
      <c r="A51" s="30">
        <v>45994</v>
      </c>
      <c r="B51" s="3">
        <f>'Työaika jäsen 1'!B53</f>
        <v>0</v>
      </c>
      <c r="C51" s="3">
        <f>'Työaika jäsen 2'!B53</f>
        <v>0</v>
      </c>
      <c r="D51" s="3">
        <f>'Työaika jäsen 3'!B53</f>
        <v>0</v>
      </c>
      <c r="E51" s="3">
        <f>'Työaika jäsen 4'!B53</f>
        <v>0</v>
      </c>
      <c r="F51" s="3">
        <f t="shared" si="18"/>
        <v>0</v>
      </c>
      <c r="H51" s="30">
        <v>45964</v>
      </c>
      <c r="I51" s="3">
        <f>'Työaika jäsen 1'!C53+'Työaika jäsen 2'!C53+'Työaika jäsen 3'!C53+'Työaika jäsen 4'!C53</f>
        <v>0</v>
      </c>
      <c r="J51" s="3">
        <f>'Työaika jäsen 1'!D53+'Työaika jäsen 2'!D53+'Työaika jäsen 3'!D53+'Työaika jäsen 4'!D53</f>
        <v>0</v>
      </c>
      <c r="K51" s="3">
        <f>'Työaika jäsen 1'!E53+'Työaika jäsen 2'!E53+'Työaika jäsen 3'!E53+'Työaika jäsen 4'!E53</f>
        <v>0</v>
      </c>
      <c r="L51" s="3">
        <f>'Työaika jäsen 1'!F53+'Työaika jäsen 2'!F53+'Työaika jäsen 3'!F53+'Työaika jäsen 4'!F53</f>
        <v>0</v>
      </c>
      <c r="M51" s="3">
        <f>'Työaika jäsen 1'!G53+'Työaika jäsen 2'!G53+'Työaika jäsen 3'!G53+'Työaika jäsen 4'!G53</f>
        <v>0</v>
      </c>
      <c r="N51" s="3">
        <f>'Työaika jäsen 1'!H53+'Työaika jäsen 2'!H53+'Työaika jäsen 3'!H53+'Työaika jäsen 4'!H53</f>
        <v>0</v>
      </c>
      <c r="O51" s="3">
        <f>'Työaika jäsen 1'!I53+'Työaika jäsen 2'!I53+'Työaika jäsen 3'!I53+'Työaika jäsen 4'!I53</f>
        <v>0</v>
      </c>
      <c r="P51" s="3">
        <f>'Työaika jäsen 1'!J53+'Työaika jäsen 2'!J53+'Työaika jäsen 3'!J53+'Työaika jäsen 4'!J53</f>
        <v>0</v>
      </c>
      <c r="Q51" s="3">
        <f>'Työaika jäsen 1'!K53+'Työaika jäsen 2'!K53+'Työaika jäsen 3'!K53+'Työaika jäsen 4'!K53</f>
        <v>0</v>
      </c>
      <c r="R51" s="3">
        <f>'Työaika jäsen 1'!L53+'Työaika jäsen 2'!L53+'Työaika jäsen 3'!L53+'Työaika jäsen 4'!L53</f>
        <v>0</v>
      </c>
      <c r="S51" s="6">
        <f t="shared" si="19"/>
        <v>0</v>
      </c>
    </row>
    <row r="52" spans="1:19" ht="14.55" customHeight="1" x14ac:dyDescent="0.3">
      <c r="A52" s="30">
        <v>45995</v>
      </c>
      <c r="B52" s="3">
        <f>'Työaika jäsen 1'!B54</f>
        <v>0</v>
      </c>
      <c r="C52" s="3">
        <f>'Työaika jäsen 2'!B54</f>
        <v>0</v>
      </c>
      <c r="D52" s="3">
        <f>'Työaika jäsen 3'!B54</f>
        <v>0</v>
      </c>
      <c r="E52" s="3">
        <f>'Työaika jäsen 4'!B54</f>
        <v>0</v>
      </c>
      <c r="F52" s="3">
        <f t="shared" si="18"/>
        <v>0</v>
      </c>
      <c r="H52" s="30">
        <v>45965</v>
      </c>
      <c r="I52" s="3">
        <f>'Työaika jäsen 1'!C54+'Työaika jäsen 2'!C54+'Työaika jäsen 3'!C54+'Työaika jäsen 4'!C54</f>
        <v>0</v>
      </c>
      <c r="J52" s="3">
        <f>'Työaika jäsen 1'!D54+'Työaika jäsen 2'!D54+'Työaika jäsen 3'!D54+'Työaika jäsen 4'!D54</f>
        <v>0</v>
      </c>
      <c r="K52" s="3">
        <f>'Työaika jäsen 1'!E54+'Työaika jäsen 2'!E54+'Työaika jäsen 3'!E54+'Työaika jäsen 4'!E54</f>
        <v>0</v>
      </c>
      <c r="L52" s="3">
        <f>'Työaika jäsen 1'!F54+'Työaika jäsen 2'!F54+'Työaika jäsen 3'!F54+'Työaika jäsen 4'!F54</f>
        <v>0</v>
      </c>
      <c r="M52" s="3">
        <f>'Työaika jäsen 1'!G54+'Työaika jäsen 2'!G54+'Työaika jäsen 3'!G54+'Työaika jäsen 4'!G54</f>
        <v>0</v>
      </c>
      <c r="N52" s="3">
        <f>'Työaika jäsen 1'!H54+'Työaika jäsen 2'!H54+'Työaika jäsen 3'!H54+'Työaika jäsen 4'!H54</f>
        <v>0</v>
      </c>
      <c r="O52" s="3">
        <f>'Työaika jäsen 1'!I54+'Työaika jäsen 2'!I54+'Työaika jäsen 3'!I54+'Työaika jäsen 4'!I54</f>
        <v>0</v>
      </c>
      <c r="P52" s="3">
        <f>'Työaika jäsen 1'!J54+'Työaika jäsen 2'!J54+'Työaika jäsen 3'!J54+'Työaika jäsen 4'!J54</f>
        <v>0</v>
      </c>
      <c r="Q52" s="3">
        <f>'Työaika jäsen 1'!K54+'Työaika jäsen 2'!K54+'Työaika jäsen 3'!K54+'Työaika jäsen 4'!K54</f>
        <v>0</v>
      </c>
      <c r="R52" s="3">
        <f>'Työaika jäsen 1'!L54+'Työaika jäsen 2'!L54+'Työaika jäsen 3'!L54+'Työaika jäsen 4'!L54</f>
        <v>0</v>
      </c>
      <c r="S52" s="6">
        <f t="shared" si="19"/>
        <v>0</v>
      </c>
    </row>
    <row r="53" spans="1:19" ht="14.55" customHeight="1" x14ac:dyDescent="0.3">
      <c r="A53" s="30">
        <v>45996</v>
      </c>
      <c r="B53" s="3">
        <f>'Työaika jäsen 1'!B55</f>
        <v>0</v>
      </c>
      <c r="C53" s="3">
        <f>'Työaika jäsen 2'!B55</f>
        <v>0</v>
      </c>
      <c r="D53" s="3">
        <f>'Työaika jäsen 3'!B55</f>
        <v>0</v>
      </c>
      <c r="E53" s="3">
        <f>'Työaika jäsen 4'!B55</f>
        <v>0</v>
      </c>
      <c r="F53" s="3">
        <f t="shared" si="18"/>
        <v>0</v>
      </c>
      <c r="H53" s="30">
        <v>45966</v>
      </c>
      <c r="I53" s="3">
        <f>'Työaika jäsen 1'!C55+'Työaika jäsen 2'!C55+'Työaika jäsen 3'!C55+'Työaika jäsen 4'!C55</f>
        <v>0</v>
      </c>
      <c r="J53" s="3">
        <f>'Työaika jäsen 1'!D55+'Työaika jäsen 2'!D55+'Työaika jäsen 3'!D55+'Työaika jäsen 4'!D55</f>
        <v>0</v>
      </c>
      <c r="K53" s="3">
        <f>'Työaika jäsen 1'!E55+'Työaika jäsen 2'!E55+'Työaika jäsen 3'!E55+'Työaika jäsen 4'!E55</f>
        <v>0</v>
      </c>
      <c r="L53" s="3">
        <f>'Työaika jäsen 1'!F55+'Työaika jäsen 2'!F55+'Työaika jäsen 3'!F55+'Työaika jäsen 4'!F55</f>
        <v>0</v>
      </c>
      <c r="M53" s="3">
        <f>'Työaika jäsen 1'!G55+'Työaika jäsen 2'!G55+'Työaika jäsen 3'!G55+'Työaika jäsen 4'!G55</f>
        <v>0</v>
      </c>
      <c r="N53" s="3">
        <f>'Työaika jäsen 1'!H55+'Työaika jäsen 2'!H55+'Työaika jäsen 3'!H55+'Työaika jäsen 4'!H55</f>
        <v>0</v>
      </c>
      <c r="O53" s="3">
        <f>'Työaika jäsen 1'!I55+'Työaika jäsen 2'!I55+'Työaika jäsen 3'!I55+'Työaika jäsen 4'!I55</f>
        <v>0</v>
      </c>
      <c r="P53" s="3">
        <f>'Työaika jäsen 1'!J55+'Työaika jäsen 2'!J55+'Työaika jäsen 3'!J55+'Työaika jäsen 4'!J55</f>
        <v>0</v>
      </c>
      <c r="Q53" s="3">
        <f>'Työaika jäsen 1'!K55+'Työaika jäsen 2'!K55+'Työaika jäsen 3'!K55+'Työaika jäsen 4'!K55</f>
        <v>0</v>
      </c>
      <c r="R53" s="3">
        <f>'Työaika jäsen 1'!L55+'Työaika jäsen 2'!L55+'Työaika jäsen 3'!L55+'Työaika jäsen 4'!L55</f>
        <v>0</v>
      </c>
      <c r="S53" s="6">
        <f t="shared" si="19"/>
        <v>0</v>
      </c>
    </row>
    <row r="54" spans="1:19" ht="14.55" customHeight="1" x14ac:dyDescent="0.3">
      <c r="A54" s="30">
        <v>45997</v>
      </c>
      <c r="B54" s="3">
        <f>'Työaika jäsen 1'!B56</f>
        <v>0</v>
      </c>
      <c r="C54" s="3">
        <f>'Työaika jäsen 2'!B56</f>
        <v>0</v>
      </c>
      <c r="D54" s="3">
        <f>'Työaika jäsen 3'!B56</f>
        <v>0</v>
      </c>
      <c r="E54" s="3">
        <f>'Työaika jäsen 4'!B56</f>
        <v>0</v>
      </c>
      <c r="F54" s="3">
        <f t="shared" si="18"/>
        <v>0</v>
      </c>
      <c r="H54" s="30">
        <v>45967</v>
      </c>
      <c r="I54" s="3">
        <f>'Työaika jäsen 1'!C56+'Työaika jäsen 2'!C56+'Työaika jäsen 3'!C56+'Työaika jäsen 4'!C56</f>
        <v>0</v>
      </c>
      <c r="J54" s="3">
        <f>'Työaika jäsen 1'!D56+'Työaika jäsen 2'!D56+'Työaika jäsen 3'!D56+'Työaika jäsen 4'!D56</f>
        <v>0</v>
      </c>
      <c r="K54" s="3">
        <f>'Työaika jäsen 1'!E56+'Työaika jäsen 2'!E56+'Työaika jäsen 3'!E56+'Työaika jäsen 4'!E56</f>
        <v>0</v>
      </c>
      <c r="L54" s="3">
        <f>'Työaika jäsen 1'!F56+'Työaika jäsen 2'!F56+'Työaika jäsen 3'!F56+'Työaika jäsen 4'!F56</f>
        <v>0</v>
      </c>
      <c r="M54" s="3">
        <f>'Työaika jäsen 1'!G56+'Työaika jäsen 2'!G56+'Työaika jäsen 3'!G56+'Työaika jäsen 4'!G56</f>
        <v>0</v>
      </c>
      <c r="N54" s="3">
        <f>'Työaika jäsen 1'!H56+'Työaika jäsen 2'!H56+'Työaika jäsen 3'!H56+'Työaika jäsen 4'!H56</f>
        <v>0</v>
      </c>
      <c r="O54" s="3">
        <f>'Työaika jäsen 1'!I56+'Työaika jäsen 2'!I56+'Työaika jäsen 3'!I56+'Työaika jäsen 4'!I56</f>
        <v>0</v>
      </c>
      <c r="P54" s="3">
        <f>'Työaika jäsen 1'!J56+'Työaika jäsen 2'!J56+'Työaika jäsen 3'!J56+'Työaika jäsen 4'!J56</f>
        <v>0</v>
      </c>
      <c r="Q54" s="3">
        <f>'Työaika jäsen 1'!K56+'Työaika jäsen 2'!K56+'Työaika jäsen 3'!K56+'Työaika jäsen 4'!K56</f>
        <v>0</v>
      </c>
      <c r="R54" s="3">
        <f>'Työaika jäsen 1'!L56+'Työaika jäsen 2'!L56+'Työaika jäsen 3'!L56+'Työaika jäsen 4'!L56</f>
        <v>0</v>
      </c>
      <c r="S54" s="6">
        <f t="shared" si="19"/>
        <v>0</v>
      </c>
    </row>
    <row r="55" spans="1:19" ht="14.55" customHeight="1" x14ac:dyDescent="0.3">
      <c r="A55" s="30">
        <v>45998</v>
      </c>
      <c r="B55" s="3">
        <f>'Työaika jäsen 1'!B57</f>
        <v>0</v>
      </c>
      <c r="C55" s="3">
        <f>'Työaika jäsen 2'!B57</f>
        <v>0</v>
      </c>
      <c r="D55" s="3">
        <f>'Työaika jäsen 3'!B57</f>
        <v>0</v>
      </c>
      <c r="E55" s="3">
        <f>'Työaika jäsen 4'!B57</f>
        <v>0</v>
      </c>
      <c r="F55" s="3">
        <f t="shared" si="18"/>
        <v>0</v>
      </c>
      <c r="H55" s="30">
        <v>45968</v>
      </c>
      <c r="I55" s="3">
        <f>'Työaika jäsen 1'!C57+'Työaika jäsen 2'!C57+'Työaika jäsen 3'!C57+'Työaika jäsen 4'!C57</f>
        <v>0</v>
      </c>
      <c r="J55" s="3">
        <f>'Työaika jäsen 1'!D57+'Työaika jäsen 2'!D57+'Työaika jäsen 3'!D57+'Työaika jäsen 4'!D57</f>
        <v>0</v>
      </c>
      <c r="K55" s="3">
        <f>'Työaika jäsen 1'!E57+'Työaika jäsen 2'!E57+'Työaika jäsen 3'!E57+'Työaika jäsen 4'!E57</f>
        <v>0</v>
      </c>
      <c r="L55" s="3">
        <f>'Työaika jäsen 1'!F57+'Työaika jäsen 2'!F57+'Työaika jäsen 3'!F57+'Työaika jäsen 4'!F57</f>
        <v>0</v>
      </c>
      <c r="M55" s="3">
        <f>'Työaika jäsen 1'!G57+'Työaika jäsen 2'!G57+'Työaika jäsen 3'!G57+'Työaika jäsen 4'!G57</f>
        <v>0</v>
      </c>
      <c r="N55" s="3">
        <f>'Työaika jäsen 1'!H57+'Työaika jäsen 2'!H57+'Työaika jäsen 3'!H57+'Työaika jäsen 4'!H57</f>
        <v>0</v>
      </c>
      <c r="O55" s="3">
        <f>'Työaika jäsen 1'!I57+'Työaika jäsen 2'!I57+'Työaika jäsen 3'!I57+'Työaika jäsen 4'!I57</f>
        <v>0</v>
      </c>
      <c r="P55" s="3">
        <f>'Työaika jäsen 1'!J57+'Työaika jäsen 2'!J57+'Työaika jäsen 3'!J57+'Työaika jäsen 4'!J57</f>
        <v>0</v>
      </c>
      <c r="Q55" s="3">
        <f>'Työaika jäsen 1'!K57+'Työaika jäsen 2'!K57+'Työaika jäsen 3'!K57+'Työaika jäsen 4'!K57</f>
        <v>0</v>
      </c>
      <c r="R55" s="3">
        <f>'Työaika jäsen 1'!L57+'Työaika jäsen 2'!L57+'Työaika jäsen 3'!L57+'Työaika jäsen 4'!L57</f>
        <v>0</v>
      </c>
      <c r="S55" s="6">
        <f t="shared" si="19"/>
        <v>0</v>
      </c>
    </row>
    <row r="56" spans="1:19" ht="14.55" customHeight="1" x14ac:dyDescent="0.3">
      <c r="A56" s="30">
        <v>45999</v>
      </c>
      <c r="B56" s="3">
        <f>'Työaika jäsen 1'!B58</f>
        <v>0</v>
      </c>
      <c r="C56" s="3">
        <f>'Työaika jäsen 2'!B58</f>
        <v>0</v>
      </c>
      <c r="D56" s="3">
        <f>'Työaika jäsen 3'!B58</f>
        <v>0</v>
      </c>
      <c r="E56" s="3">
        <f>'Työaika jäsen 4'!B58</f>
        <v>0</v>
      </c>
      <c r="F56" s="3">
        <f t="shared" si="18"/>
        <v>0</v>
      </c>
      <c r="H56" s="30">
        <v>45969</v>
      </c>
      <c r="I56" s="3">
        <f>'Työaika jäsen 1'!C58+'Työaika jäsen 2'!C58+'Työaika jäsen 3'!C58+'Työaika jäsen 4'!C58</f>
        <v>0</v>
      </c>
      <c r="J56" s="3">
        <f>'Työaika jäsen 1'!D58+'Työaika jäsen 2'!D58+'Työaika jäsen 3'!D58+'Työaika jäsen 4'!D58</f>
        <v>0</v>
      </c>
      <c r="K56" s="3">
        <f>'Työaika jäsen 1'!E58+'Työaika jäsen 2'!E58+'Työaika jäsen 3'!E58+'Työaika jäsen 4'!E58</f>
        <v>0</v>
      </c>
      <c r="L56" s="3">
        <f>'Työaika jäsen 1'!F58+'Työaika jäsen 2'!F58+'Työaika jäsen 3'!F58+'Työaika jäsen 4'!F58</f>
        <v>0</v>
      </c>
      <c r="M56" s="3">
        <f>'Työaika jäsen 1'!G58+'Työaika jäsen 2'!G58+'Työaika jäsen 3'!G58+'Työaika jäsen 4'!G58</f>
        <v>0</v>
      </c>
      <c r="N56" s="3">
        <f>'Työaika jäsen 1'!H58+'Työaika jäsen 2'!H58+'Työaika jäsen 3'!H58+'Työaika jäsen 4'!H58</f>
        <v>0</v>
      </c>
      <c r="O56" s="3">
        <f>'Työaika jäsen 1'!I58+'Työaika jäsen 2'!I58+'Työaika jäsen 3'!I58+'Työaika jäsen 4'!I58</f>
        <v>0</v>
      </c>
      <c r="P56" s="3">
        <f>'Työaika jäsen 1'!J58+'Työaika jäsen 2'!J58+'Työaika jäsen 3'!J58+'Työaika jäsen 4'!J58</f>
        <v>0</v>
      </c>
      <c r="Q56" s="3">
        <f>'Työaika jäsen 1'!K58+'Työaika jäsen 2'!K58+'Työaika jäsen 3'!K58+'Työaika jäsen 4'!K58</f>
        <v>0</v>
      </c>
      <c r="R56" s="3">
        <f>'Työaika jäsen 1'!L58+'Työaika jäsen 2'!L58+'Työaika jäsen 3'!L58+'Työaika jäsen 4'!L58</f>
        <v>0</v>
      </c>
      <c r="S56" s="6">
        <f t="shared" si="19"/>
        <v>0</v>
      </c>
    </row>
    <row r="57" spans="1:19" ht="14.55" customHeight="1" x14ac:dyDescent="0.3">
      <c r="A57" s="30">
        <v>46000</v>
      </c>
      <c r="B57" s="3">
        <f>'Työaika jäsen 1'!B59</f>
        <v>0</v>
      </c>
      <c r="C57" s="3">
        <f>'Työaika jäsen 2'!B59</f>
        <v>0</v>
      </c>
      <c r="D57" s="3">
        <f>'Työaika jäsen 3'!B59</f>
        <v>0</v>
      </c>
      <c r="E57" s="3">
        <f>'Työaika jäsen 4'!B59</f>
        <v>0</v>
      </c>
      <c r="F57" s="3">
        <f t="shared" si="18"/>
        <v>0</v>
      </c>
      <c r="H57" s="30">
        <v>45970</v>
      </c>
      <c r="I57" s="3">
        <f>'Työaika jäsen 1'!C59+'Työaika jäsen 2'!C59+'Työaika jäsen 3'!C59+'Työaika jäsen 4'!C59</f>
        <v>0</v>
      </c>
      <c r="J57" s="3">
        <f>'Työaika jäsen 1'!D59+'Työaika jäsen 2'!D59+'Työaika jäsen 3'!D59+'Työaika jäsen 4'!D59</f>
        <v>0</v>
      </c>
      <c r="K57" s="3">
        <f>'Työaika jäsen 1'!E59+'Työaika jäsen 2'!E59+'Työaika jäsen 3'!E59+'Työaika jäsen 4'!E59</f>
        <v>0</v>
      </c>
      <c r="L57" s="3">
        <f>'Työaika jäsen 1'!F59+'Työaika jäsen 2'!F59+'Työaika jäsen 3'!F59+'Työaika jäsen 4'!F59</f>
        <v>0</v>
      </c>
      <c r="M57" s="3">
        <f>'Työaika jäsen 1'!G59+'Työaika jäsen 2'!G59+'Työaika jäsen 3'!G59+'Työaika jäsen 4'!G59</f>
        <v>0</v>
      </c>
      <c r="N57" s="3">
        <f>'Työaika jäsen 1'!H59+'Työaika jäsen 2'!H59+'Työaika jäsen 3'!H59+'Työaika jäsen 4'!H59</f>
        <v>0</v>
      </c>
      <c r="O57" s="3">
        <f>'Työaika jäsen 1'!I59+'Työaika jäsen 2'!I59+'Työaika jäsen 3'!I59+'Työaika jäsen 4'!I59</f>
        <v>0</v>
      </c>
      <c r="P57" s="3">
        <f>'Työaika jäsen 1'!J59+'Työaika jäsen 2'!J59+'Työaika jäsen 3'!J59+'Työaika jäsen 4'!J59</f>
        <v>0</v>
      </c>
      <c r="Q57" s="3">
        <f>'Työaika jäsen 1'!K59+'Työaika jäsen 2'!K59+'Työaika jäsen 3'!K59+'Työaika jäsen 4'!K59</f>
        <v>0</v>
      </c>
      <c r="R57" s="3">
        <f>'Työaika jäsen 1'!L59+'Työaika jäsen 2'!L59+'Työaika jäsen 3'!L59+'Työaika jäsen 4'!L59</f>
        <v>0</v>
      </c>
      <c r="S57" s="6">
        <f t="shared" si="19"/>
        <v>0</v>
      </c>
    </row>
    <row r="58" spans="1:19" ht="14.55" customHeight="1" x14ac:dyDescent="0.3">
      <c r="A58" s="30">
        <v>46001</v>
      </c>
      <c r="B58" s="3">
        <f>'Työaika jäsen 1'!B60</f>
        <v>0</v>
      </c>
      <c r="C58" s="3">
        <f>'Työaika jäsen 2'!B60</f>
        <v>0</v>
      </c>
      <c r="D58" s="3">
        <f>'Työaika jäsen 3'!B60</f>
        <v>0</v>
      </c>
      <c r="E58" s="3">
        <f>'Työaika jäsen 4'!B60</f>
        <v>0</v>
      </c>
      <c r="F58" s="3">
        <f t="shared" si="18"/>
        <v>0</v>
      </c>
      <c r="H58" s="30">
        <v>45971</v>
      </c>
      <c r="I58" s="3">
        <f>'Työaika jäsen 1'!C60+'Työaika jäsen 2'!C60+'Työaika jäsen 3'!C60+'Työaika jäsen 4'!C60</f>
        <v>0</v>
      </c>
      <c r="J58" s="3">
        <f>'Työaika jäsen 1'!D60+'Työaika jäsen 2'!D60+'Työaika jäsen 3'!D60+'Työaika jäsen 4'!D60</f>
        <v>0</v>
      </c>
      <c r="K58" s="3">
        <f>'Työaika jäsen 1'!E60+'Työaika jäsen 2'!E60+'Työaika jäsen 3'!E60+'Työaika jäsen 4'!E60</f>
        <v>0</v>
      </c>
      <c r="L58" s="3">
        <f>'Työaika jäsen 1'!F60+'Työaika jäsen 2'!F60+'Työaika jäsen 3'!F60+'Työaika jäsen 4'!F60</f>
        <v>0</v>
      </c>
      <c r="M58" s="3">
        <f>'Työaika jäsen 1'!G60+'Työaika jäsen 2'!G60+'Työaika jäsen 3'!G60+'Työaika jäsen 4'!G60</f>
        <v>0</v>
      </c>
      <c r="N58" s="3">
        <f>'Työaika jäsen 1'!H60+'Työaika jäsen 2'!H60+'Työaika jäsen 3'!H60+'Työaika jäsen 4'!H60</f>
        <v>0</v>
      </c>
      <c r="O58" s="3">
        <f>'Työaika jäsen 1'!I60+'Työaika jäsen 2'!I60+'Työaika jäsen 3'!I60+'Työaika jäsen 4'!I60</f>
        <v>0</v>
      </c>
      <c r="P58" s="3">
        <f>'Työaika jäsen 1'!J60+'Työaika jäsen 2'!J60+'Työaika jäsen 3'!J60+'Työaika jäsen 4'!J60</f>
        <v>0</v>
      </c>
      <c r="Q58" s="3">
        <f>'Työaika jäsen 1'!K60+'Työaika jäsen 2'!K60+'Työaika jäsen 3'!K60+'Työaika jäsen 4'!K60</f>
        <v>0</v>
      </c>
      <c r="R58" s="3">
        <f>'Työaika jäsen 1'!L60+'Työaika jäsen 2'!L60+'Työaika jäsen 3'!L60+'Työaika jäsen 4'!L60</f>
        <v>0</v>
      </c>
      <c r="S58" s="6">
        <f t="shared" si="19"/>
        <v>0</v>
      </c>
    </row>
    <row r="59" spans="1:19" ht="14.55" customHeight="1" x14ac:dyDescent="0.3">
      <c r="A59" s="62" t="s">
        <v>29</v>
      </c>
      <c r="B59" s="63">
        <f>SUM(B44:B58)</f>
        <v>0</v>
      </c>
      <c r="C59" s="63">
        <f t="shared" ref="C59:E59" si="20">SUM(C44:C58)</f>
        <v>0</v>
      </c>
      <c r="D59" s="63">
        <f t="shared" si="20"/>
        <v>0</v>
      </c>
      <c r="E59" s="63">
        <f t="shared" si="20"/>
        <v>0</v>
      </c>
      <c r="F59" s="63">
        <f>SUM(F44:F58)</f>
        <v>0</v>
      </c>
      <c r="H59" s="62" t="s">
        <v>29</v>
      </c>
      <c r="I59" s="63">
        <f t="shared" ref="I59" si="21">SUM(I44:I58)</f>
        <v>0</v>
      </c>
      <c r="J59" s="63">
        <f t="shared" ref="J59" si="22">SUM(J44:J58)</f>
        <v>0</v>
      </c>
      <c r="K59" s="63">
        <f t="shared" ref="K59" si="23">SUM(K44:K58)</f>
        <v>0</v>
      </c>
      <c r="L59" s="63">
        <f t="shared" ref="L59" si="24">SUM(L44:L58)</f>
        <v>0</v>
      </c>
      <c r="M59" s="63">
        <f t="shared" ref="M59" si="25">SUM(M44:M58)</f>
        <v>0</v>
      </c>
      <c r="N59" s="63">
        <f t="shared" ref="N59" si="26">SUM(N44:N58)</f>
        <v>0</v>
      </c>
      <c r="O59" s="63">
        <f t="shared" ref="O59" si="27">SUM(O44:O58)</f>
        <v>0</v>
      </c>
      <c r="P59" s="63">
        <f t="shared" ref="P59" si="28">SUM(P44:P58)</f>
        <v>0</v>
      </c>
      <c r="Q59" s="63">
        <f t="shared" ref="Q59" si="29">SUM(Q44:Q58)</f>
        <v>0</v>
      </c>
      <c r="R59" s="63">
        <f t="shared" ref="R59" si="30">SUM(R44:R58)</f>
        <v>0</v>
      </c>
      <c r="S59" s="63">
        <f>SUM(S44:S58)</f>
        <v>0</v>
      </c>
    </row>
    <row r="60" spans="1:19" s="33" customFormat="1" ht="14.55" customHeight="1" x14ac:dyDescent="0.3">
      <c r="A60" s="31" t="s">
        <v>20</v>
      </c>
      <c r="B60" s="32">
        <f>B41+B59</f>
        <v>5</v>
      </c>
      <c r="C60" s="32">
        <f t="shared" ref="C60:E60" si="31">C41+C59</f>
        <v>0</v>
      </c>
      <c r="D60" s="32">
        <f t="shared" si="31"/>
        <v>0</v>
      </c>
      <c r="E60" s="32">
        <f t="shared" si="31"/>
        <v>0</v>
      </c>
      <c r="F60" s="32">
        <f>F41+F59</f>
        <v>5</v>
      </c>
      <c r="H60" s="31"/>
      <c r="I60" s="32"/>
      <c r="J60" s="32"/>
      <c r="K60" s="32"/>
      <c r="L60" s="32"/>
      <c r="M60" s="32"/>
      <c r="N60" s="34"/>
      <c r="O60" s="34"/>
      <c r="P60" s="34"/>
      <c r="Q60" s="34"/>
      <c r="R60" s="34"/>
      <c r="S60" s="34"/>
    </row>
  </sheetData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47A0F-40D4-4EA5-B4F4-B782D61A1234}">
  <dimension ref="A1:M62"/>
  <sheetViews>
    <sheetView workbookViewId="0">
      <selection activeCell="F25" sqref="F25"/>
    </sheetView>
  </sheetViews>
  <sheetFormatPr defaultRowHeight="14.4" x14ac:dyDescent="0.3"/>
  <cols>
    <col min="1" max="1" width="35.77734375" style="28" customWidth="1"/>
    <col min="2" max="2" width="16.21875" style="27" bestFit="1" customWidth="1"/>
    <col min="3" max="12" width="5.6640625" style="27" customWidth="1"/>
    <col min="13" max="13" width="100.5546875" style="29" customWidth="1"/>
  </cols>
  <sheetData>
    <row r="1" spans="1:13" ht="14.55" customHeight="1" x14ac:dyDescent="0.3">
      <c r="A1" s="7" t="s">
        <v>82</v>
      </c>
    </row>
    <row r="2" spans="1:13" ht="14.55" customHeight="1" x14ac:dyDescent="0.3">
      <c r="A2" s="74"/>
    </row>
    <row r="3" spans="1:13" ht="14.55" customHeight="1" x14ac:dyDescent="0.3">
      <c r="A3" s="35" t="s">
        <v>18</v>
      </c>
    </row>
    <row r="4" spans="1:13" ht="14.55" customHeight="1" x14ac:dyDescent="0.3">
      <c r="A4" s="28" t="s">
        <v>21</v>
      </c>
      <c r="B4" s="76" t="s">
        <v>203</v>
      </c>
      <c r="C4" s="29"/>
      <c r="D4" s="29"/>
      <c r="E4" s="29"/>
      <c r="F4" s="29"/>
      <c r="G4" s="29"/>
      <c r="H4" s="29"/>
      <c r="I4" s="29"/>
      <c r="J4" s="29"/>
      <c r="K4" s="29"/>
      <c r="L4" s="29"/>
    </row>
    <row r="5" spans="1:13" ht="14.55" customHeight="1" x14ac:dyDescent="0.3">
      <c r="A5" s="28" t="s">
        <v>19</v>
      </c>
      <c r="B5" s="29" t="s">
        <v>204</v>
      </c>
      <c r="C5" s="29"/>
      <c r="D5" s="29"/>
      <c r="E5" s="29"/>
      <c r="F5" s="29"/>
      <c r="G5" s="29"/>
      <c r="H5" s="29"/>
      <c r="I5" s="29"/>
      <c r="J5" s="29"/>
      <c r="K5" s="29"/>
      <c r="L5" s="29"/>
    </row>
    <row r="7" spans="1:13" s="1" customFormat="1" ht="14.55" customHeight="1" x14ac:dyDescent="0.3">
      <c r="A7" s="64" t="s">
        <v>24</v>
      </c>
      <c r="B7" s="65" t="s">
        <v>11</v>
      </c>
      <c r="C7" s="65" t="s">
        <v>46</v>
      </c>
      <c r="D7" s="65" t="s">
        <v>47</v>
      </c>
      <c r="E7" s="65" t="s">
        <v>48</v>
      </c>
      <c r="F7" s="65" t="s">
        <v>49</v>
      </c>
      <c r="G7" s="65" t="s">
        <v>50</v>
      </c>
      <c r="H7" s="65" t="s">
        <v>51</v>
      </c>
      <c r="I7" s="65" t="s">
        <v>52</v>
      </c>
      <c r="J7" s="65" t="s">
        <v>53</v>
      </c>
      <c r="K7" s="65" t="s">
        <v>54</v>
      </c>
      <c r="L7" s="65" t="s">
        <v>55</v>
      </c>
      <c r="M7" s="68" t="s">
        <v>23</v>
      </c>
    </row>
    <row r="8" spans="1:13" s="1" customFormat="1" ht="28.2" customHeight="1" x14ac:dyDescent="0.3">
      <c r="A8" s="36">
        <v>45957</v>
      </c>
      <c r="B8" s="79">
        <f>SUM(C8:L8)</f>
        <v>5</v>
      </c>
      <c r="C8" s="80">
        <v>1</v>
      </c>
      <c r="D8" s="80">
        <v>1</v>
      </c>
      <c r="E8" s="80">
        <v>1</v>
      </c>
      <c r="F8" s="80">
        <v>2</v>
      </c>
      <c r="G8" s="80"/>
      <c r="H8" s="80"/>
      <c r="I8" s="80"/>
      <c r="J8" s="80"/>
      <c r="K8" s="80"/>
      <c r="L8" s="80"/>
      <c r="M8" s="81" t="s">
        <v>205</v>
      </c>
    </row>
    <row r="9" spans="1:13" s="1" customFormat="1" ht="14.55" customHeight="1" x14ac:dyDescent="0.3">
      <c r="A9" s="36">
        <v>45958</v>
      </c>
      <c r="B9" s="49">
        <f t="shared" ref="B9:B22" si="0">SUM(C9:L9)</f>
        <v>0</v>
      </c>
      <c r="C9" s="6"/>
      <c r="D9" s="6"/>
      <c r="E9" s="6"/>
      <c r="F9" s="6"/>
      <c r="G9" s="6"/>
      <c r="H9" s="6"/>
      <c r="I9" s="6"/>
      <c r="J9" s="6"/>
      <c r="K9" s="6"/>
      <c r="L9" s="6"/>
      <c r="M9" s="5"/>
    </row>
    <row r="10" spans="1:13" s="1" customFormat="1" ht="14.55" customHeight="1" x14ac:dyDescent="0.3">
      <c r="A10" s="36">
        <v>45959</v>
      </c>
      <c r="B10" s="49">
        <f t="shared" si="0"/>
        <v>0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5"/>
    </row>
    <row r="11" spans="1:13" s="1" customFormat="1" ht="14.55" customHeight="1" x14ac:dyDescent="0.3">
      <c r="A11" s="36">
        <v>45960</v>
      </c>
      <c r="B11" s="49">
        <f t="shared" si="0"/>
        <v>0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5"/>
    </row>
    <row r="12" spans="1:13" s="1" customFormat="1" ht="14.55" customHeight="1" x14ac:dyDescent="0.3">
      <c r="A12" s="36">
        <v>45961</v>
      </c>
      <c r="B12" s="49">
        <f t="shared" si="0"/>
        <v>0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5"/>
    </row>
    <row r="13" spans="1:13" s="1" customFormat="1" ht="14.55" customHeight="1" x14ac:dyDescent="0.3">
      <c r="A13" s="36">
        <v>45962</v>
      </c>
      <c r="B13" s="49">
        <f t="shared" si="0"/>
        <v>0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5"/>
    </row>
    <row r="14" spans="1:13" s="1" customFormat="1" ht="14.55" customHeight="1" x14ac:dyDescent="0.3">
      <c r="A14" s="36">
        <v>45963</v>
      </c>
      <c r="B14" s="49">
        <f t="shared" si="0"/>
        <v>0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5"/>
    </row>
    <row r="15" spans="1:13" ht="14.55" customHeight="1" x14ac:dyDescent="0.3">
      <c r="A15" s="36">
        <v>45964</v>
      </c>
      <c r="B15" s="49">
        <f t="shared" si="0"/>
        <v>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13"/>
    </row>
    <row r="16" spans="1:13" ht="14.55" customHeight="1" x14ac:dyDescent="0.3">
      <c r="A16" s="36">
        <v>45965</v>
      </c>
      <c r="B16" s="49">
        <f t="shared" si="0"/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13"/>
    </row>
    <row r="17" spans="1:13" ht="14.55" customHeight="1" x14ac:dyDescent="0.3">
      <c r="A17" s="36">
        <v>45966</v>
      </c>
      <c r="B17" s="49">
        <f t="shared" si="0"/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13"/>
    </row>
    <row r="18" spans="1:13" ht="14.55" customHeight="1" x14ac:dyDescent="0.3">
      <c r="A18" s="36">
        <v>45967</v>
      </c>
      <c r="B18" s="49">
        <f t="shared" si="0"/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13"/>
    </row>
    <row r="19" spans="1:13" ht="14.55" customHeight="1" x14ac:dyDescent="0.3">
      <c r="A19" s="36">
        <v>45968</v>
      </c>
      <c r="B19" s="49">
        <f t="shared" si="0"/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13"/>
    </row>
    <row r="20" spans="1:13" ht="14.55" customHeight="1" x14ac:dyDescent="0.3">
      <c r="A20" s="36">
        <v>45969</v>
      </c>
      <c r="B20" s="49">
        <f t="shared" si="0"/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13"/>
    </row>
    <row r="21" spans="1:13" ht="14.55" customHeight="1" x14ac:dyDescent="0.3">
      <c r="A21" s="36">
        <v>45970</v>
      </c>
      <c r="B21" s="49">
        <f t="shared" si="0"/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13"/>
    </row>
    <row r="22" spans="1:13" ht="14.55" customHeight="1" x14ac:dyDescent="0.3">
      <c r="A22" s="36">
        <v>45971</v>
      </c>
      <c r="B22" s="49">
        <f t="shared" si="0"/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13"/>
    </row>
    <row r="23" spans="1:13" ht="14.55" customHeight="1" x14ac:dyDescent="0.3">
      <c r="A23" s="45" t="s">
        <v>29</v>
      </c>
      <c r="B23" s="46">
        <f>SUM(B8:B22)</f>
        <v>5</v>
      </c>
      <c r="C23" s="46">
        <f>SUM(C8:C22)</f>
        <v>1</v>
      </c>
      <c r="D23" s="46">
        <f t="shared" ref="D23:L23" si="1">SUM(D8:D22)</f>
        <v>1</v>
      </c>
      <c r="E23" s="46">
        <f t="shared" si="1"/>
        <v>1</v>
      </c>
      <c r="F23" s="46">
        <f t="shared" si="1"/>
        <v>2</v>
      </c>
      <c r="G23" s="46">
        <f t="shared" si="1"/>
        <v>0</v>
      </c>
      <c r="H23" s="46">
        <f t="shared" si="1"/>
        <v>0</v>
      </c>
      <c r="I23" s="46">
        <f t="shared" si="1"/>
        <v>0</v>
      </c>
      <c r="J23" s="46">
        <f t="shared" si="1"/>
        <v>0</v>
      </c>
      <c r="K23" s="46">
        <f t="shared" si="1"/>
        <v>0</v>
      </c>
      <c r="L23" s="46">
        <f t="shared" si="1"/>
        <v>0</v>
      </c>
      <c r="M23" s="69"/>
    </row>
    <row r="24" spans="1:13" s="33" customFormat="1" ht="14.55" customHeight="1" x14ac:dyDescent="0.3">
      <c r="A24" s="31" t="s">
        <v>20</v>
      </c>
      <c r="B24" s="32">
        <f>B23</f>
        <v>5</v>
      </c>
      <c r="C24" s="32">
        <f>C23</f>
        <v>1</v>
      </c>
      <c r="D24" s="32">
        <f t="shared" ref="D24:L24" si="2">D23</f>
        <v>1</v>
      </c>
      <c r="E24" s="32">
        <f t="shared" si="2"/>
        <v>1</v>
      </c>
      <c r="F24" s="32">
        <f t="shared" si="2"/>
        <v>2</v>
      </c>
      <c r="G24" s="32">
        <f t="shared" si="2"/>
        <v>0</v>
      </c>
      <c r="H24" s="32">
        <f t="shared" si="2"/>
        <v>0</v>
      </c>
      <c r="I24" s="32">
        <f t="shared" si="2"/>
        <v>0</v>
      </c>
      <c r="J24" s="32">
        <f t="shared" si="2"/>
        <v>0</v>
      </c>
      <c r="K24" s="32">
        <f t="shared" si="2"/>
        <v>0</v>
      </c>
      <c r="L24" s="32">
        <f t="shared" si="2"/>
        <v>0</v>
      </c>
      <c r="M24" s="34"/>
    </row>
    <row r="26" spans="1:13" ht="14.55" customHeight="1" x14ac:dyDescent="0.3">
      <c r="A26" s="66" t="s">
        <v>30</v>
      </c>
      <c r="B26" s="57" t="s">
        <v>11</v>
      </c>
      <c r="C26" s="57" t="s">
        <v>56</v>
      </c>
      <c r="D26" s="57" t="s">
        <v>57</v>
      </c>
      <c r="E26" s="57" t="s">
        <v>58</v>
      </c>
      <c r="F26" s="57" t="s">
        <v>59</v>
      </c>
      <c r="G26" s="57" t="s">
        <v>60</v>
      </c>
      <c r="H26" s="57" t="s">
        <v>61</v>
      </c>
      <c r="I26" s="57" t="s">
        <v>62</v>
      </c>
      <c r="J26" s="57" t="s">
        <v>63</v>
      </c>
      <c r="K26" s="57" t="s">
        <v>64</v>
      </c>
      <c r="L26" s="57" t="s">
        <v>65</v>
      </c>
      <c r="M26" s="70" t="s">
        <v>23</v>
      </c>
    </row>
    <row r="27" spans="1:13" ht="14.55" customHeight="1" x14ac:dyDescent="0.3">
      <c r="A27" s="30">
        <v>45972</v>
      </c>
      <c r="B27" s="49">
        <f>SUM(C27:L27)</f>
        <v>0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5"/>
    </row>
    <row r="28" spans="1:13" ht="14.55" customHeight="1" x14ac:dyDescent="0.3">
      <c r="A28" s="30">
        <v>45973</v>
      </c>
      <c r="B28" s="49">
        <f t="shared" ref="B28:B41" si="3">SUM(C28:L28)</f>
        <v>0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5"/>
    </row>
    <row r="29" spans="1:13" ht="14.55" customHeight="1" x14ac:dyDescent="0.3">
      <c r="A29" s="30">
        <v>45974</v>
      </c>
      <c r="B29" s="49">
        <f t="shared" si="3"/>
        <v>0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5"/>
    </row>
    <row r="30" spans="1:13" ht="14.55" customHeight="1" x14ac:dyDescent="0.3">
      <c r="A30" s="30">
        <v>45975</v>
      </c>
      <c r="B30" s="49">
        <f t="shared" si="3"/>
        <v>0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5"/>
    </row>
    <row r="31" spans="1:13" ht="14.55" customHeight="1" x14ac:dyDescent="0.3">
      <c r="A31" s="30">
        <v>45976</v>
      </c>
      <c r="B31" s="49">
        <f t="shared" si="3"/>
        <v>0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5"/>
    </row>
    <row r="32" spans="1:13" ht="14.55" customHeight="1" x14ac:dyDescent="0.3">
      <c r="A32" s="30">
        <v>45977</v>
      </c>
      <c r="B32" s="49">
        <f t="shared" si="3"/>
        <v>0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5"/>
    </row>
    <row r="33" spans="1:13" ht="14.55" customHeight="1" x14ac:dyDescent="0.3">
      <c r="A33" s="30">
        <v>45978</v>
      </c>
      <c r="B33" s="49">
        <f t="shared" si="3"/>
        <v>0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5"/>
    </row>
    <row r="34" spans="1:13" ht="14.55" customHeight="1" x14ac:dyDescent="0.3">
      <c r="A34" s="30">
        <v>45979</v>
      </c>
      <c r="B34" s="49">
        <f t="shared" si="3"/>
        <v>0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5"/>
    </row>
    <row r="35" spans="1:13" ht="14.55" customHeight="1" x14ac:dyDescent="0.3">
      <c r="A35" s="30">
        <v>45980</v>
      </c>
      <c r="B35" s="49">
        <f t="shared" si="3"/>
        <v>0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5"/>
    </row>
    <row r="36" spans="1:13" ht="14.55" customHeight="1" x14ac:dyDescent="0.3">
      <c r="A36" s="30">
        <v>45981</v>
      </c>
      <c r="B36" s="49">
        <f t="shared" si="3"/>
        <v>0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5"/>
    </row>
    <row r="37" spans="1:13" ht="14.55" customHeight="1" x14ac:dyDescent="0.3">
      <c r="A37" s="30">
        <v>45982</v>
      </c>
      <c r="B37" s="49">
        <f t="shared" si="3"/>
        <v>0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5"/>
    </row>
    <row r="38" spans="1:13" ht="14.55" customHeight="1" x14ac:dyDescent="0.3">
      <c r="A38" s="30">
        <v>45983</v>
      </c>
      <c r="B38" s="49">
        <f t="shared" si="3"/>
        <v>0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5"/>
    </row>
    <row r="39" spans="1:13" ht="14.55" customHeight="1" x14ac:dyDescent="0.3">
      <c r="A39" s="30">
        <v>45984</v>
      </c>
      <c r="B39" s="49">
        <f t="shared" si="3"/>
        <v>0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5"/>
    </row>
    <row r="40" spans="1:13" ht="14.55" customHeight="1" x14ac:dyDescent="0.3">
      <c r="A40" s="30">
        <v>45985</v>
      </c>
      <c r="B40" s="49">
        <f t="shared" si="3"/>
        <v>0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5"/>
    </row>
    <row r="41" spans="1:13" ht="14.55" customHeight="1" x14ac:dyDescent="0.3">
      <c r="A41" s="30">
        <v>45986</v>
      </c>
      <c r="B41" s="49">
        <f t="shared" si="3"/>
        <v>0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5"/>
    </row>
    <row r="42" spans="1:13" ht="14.55" customHeight="1" x14ac:dyDescent="0.3">
      <c r="A42" s="47" t="s">
        <v>29</v>
      </c>
      <c r="B42" s="48">
        <f>SUM(B27:B41)</f>
        <v>0</v>
      </c>
      <c r="C42" s="48">
        <f>SUM(C27:C41)</f>
        <v>0</v>
      </c>
      <c r="D42" s="48">
        <f t="shared" ref="D42:L42" si="4">SUM(D27:D41)</f>
        <v>0</v>
      </c>
      <c r="E42" s="48">
        <f t="shared" si="4"/>
        <v>0</v>
      </c>
      <c r="F42" s="48">
        <f t="shared" si="4"/>
        <v>0</v>
      </c>
      <c r="G42" s="48">
        <f t="shared" si="4"/>
        <v>0</v>
      </c>
      <c r="H42" s="48">
        <f t="shared" si="4"/>
        <v>0</v>
      </c>
      <c r="I42" s="48">
        <f t="shared" si="4"/>
        <v>0</v>
      </c>
      <c r="J42" s="48">
        <f t="shared" si="4"/>
        <v>0</v>
      </c>
      <c r="K42" s="48">
        <f t="shared" si="4"/>
        <v>0</v>
      </c>
      <c r="L42" s="48">
        <f t="shared" si="4"/>
        <v>0</v>
      </c>
      <c r="M42" s="71"/>
    </row>
    <row r="43" spans="1:13" s="33" customFormat="1" ht="14.55" customHeight="1" x14ac:dyDescent="0.3">
      <c r="A43" s="31" t="s">
        <v>20</v>
      </c>
      <c r="B43" s="32">
        <f>B24+B42</f>
        <v>5</v>
      </c>
      <c r="C43" s="32">
        <f>SUM(C24,C42)</f>
        <v>1</v>
      </c>
      <c r="D43" s="32">
        <f t="shared" ref="D43:K43" si="5">SUM(D24,D42)</f>
        <v>1</v>
      </c>
      <c r="E43" s="32">
        <f t="shared" si="5"/>
        <v>1</v>
      </c>
      <c r="F43" s="32">
        <f t="shared" si="5"/>
        <v>2</v>
      </c>
      <c r="G43" s="32">
        <f t="shared" si="5"/>
        <v>0</v>
      </c>
      <c r="H43" s="32">
        <f t="shared" si="5"/>
        <v>0</v>
      </c>
      <c r="I43" s="32">
        <f t="shared" si="5"/>
        <v>0</v>
      </c>
      <c r="J43" s="32">
        <f t="shared" si="5"/>
        <v>0</v>
      </c>
      <c r="K43" s="32">
        <f t="shared" si="5"/>
        <v>0</v>
      </c>
      <c r="L43" s="32">
        <f>SUM(L24,L42)</f>
        <v>0</v>
      </c>
      <c r="M43" s="34"/>
    </row>
    <row r="45" spans="1:13" ht="14.55" customHeight="1" x14ac:dyDescent="0.3">
      <c r="A45" s="67" t="s">
        <v>31</v>
      </c>
      <c r="B45" s="61" t="s">
        <v>11</v>
      </c>
      <c r="C45" s="61" t="s">
        <v>66</v>
      </c>
      <c r="D45" s="61" t="s">
        <v>67</v>
      </c>
      <c r="E45" s="61" t="s">
        <v>68</v>
      </c>
      <c r="F45" s="61" t="s">
        <v>69</v>
      </c>
      <c r="G45" s="61" t="s">
        <v>70</v>
      </c>
      <c r="H45" s="61" t="s">
        <v>71</v>
      </c>
      <c r="I45" s="61" t="s">
        <v>72</v>
      </c>
      <c r="J45" s="61" t="s">
        <v>73</v>
      </c>
      <c r="K45" s="61" t="s">
        <v>74</v>
      </c>
      <c r="L45" s="61" t="s">
        <v>75</v>
      </c>
      <c r="M45" s="72" t="s">
        <v>23</v>
      </c>
    </row>
    <row r="46" spans="1:13" ht="14.55" customHeight="1" x14ac:dyDescent="0.3">
      <c r="A46" s="30">
        <v>45987</v>
      </c>
      <c r="B46" s="49">
        <f>SUM(C46:L46)</f>
        <v>0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5"/>
    </row>
    <row r="47" spans="1:13" ht="14.55" customHeight="1" x14ac:dyDescent="0.3">
      <c r="A47" s="30">
        <v>45988</v>
      </c>
      <c r="B47" s="49">
        <f t="shared" ref="B47:B60" si="6">SUM(C47:L47)</f>
        <v>0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5"/>
    </row>
    <row r="48" spans="1:13" ht="14.55" customHeight="1" x14ac:dyDescent="0.3">
      <c r="A48" s="30">
        <v>45989</v>
      </c>
      <c r="B48" s="49">
        <f t="shared" si="6"/>
        <v>0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5"/>
    </row>
    <row r="49" spans="1:13" ht="14.55" customHeight="1" x14ac:dyDescent="0.3">
      <c r="A49" s="30">
        <v>45990</v>
      </c>
      <c r="B49" s="49">
        <f t="shared" si="6"/>
        <v>0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5"/>
    </row>
    <row r="50" spans="1:13" ht="14.55" customHeight="1" x14ac:dyDescent="0.3">
      <c r="A50" s="30">
        <v>45991</v>
      </c>
      <c r="B50" s="49">
        <f t="shared" si="6"/>
        <v>0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5"/>
    </row>
    <row r="51" spans="1:13" ht="14.55" customHeight="1" x14ac:dyDescent="0.3">
      <c r="A51" s="30">
        <v>45992</v>
      </c>
      <c r="B51" s="49">
        <f t="shared" si="6"/>
        <v>0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5"/>
    </row>
    <row r="52" spans="1:13" ht="14.55" customHeight="1" x14ac:dyDescent="0.3">
      <c r="A52" s="30">
        <v>45993</v>
      </c>
      <c r="B52" s="49">
        <f t="shared" si="6"/>
        <v>0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5"/>
    </row>
    <row r="53" spans="1:13" ht="14.55" customHeight="1" x14ac:dyDescent="0.3">
      <c r="A53" s="30">
        <v>45994</v>
      </c>
      <c r="B53" s="49">
        <f t="shared" si="6"/>
        <v>0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5"/>
    </row>
    <row r="54" spans="1:13" ht="14.55" customHeight="1" x14ac:dyDescent="0.3">
      <c r="A54" s="30">
        <v>45995</v>
      </c>
      <c r="B54" s="49">
        <f t="shared" si="6"/>
        <v>0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5"/>
    </row>
    <row r="55" spans="1:13" ht="14.55" customHeight="1" x14ac:dyDescent="0.3">
      <c r="A55" s="30">
        <v>45996</v>
      </c>
      <c r="B55" s="49">
        <f t="shared" si="6"/>
        <v>0</v>
      </c>
      <c r="C55" s="6"/>
      <c r="D55" s="6"/>
      <c r="E55" s="6"/>
      <c r="F55" s="6"/>
      <c r="G55" s="6"/>
      <c r="H55" s="6"/>
      <c r="I55" s="6"/>
      <c r="J55" s="6"/>
      <c r="K55" s="6"/>
      <c r="L55" s="6"/>
      <c r="M55" s="5"/>
    </row>
    <row r="56" spans="1:13" ht="14.55" customHeight="1" x14ac:dyDescent="0.3">
      <c r="A56" s="30">
        <v>45997</v>
      </c>
      <c r="B56" s="49">
        <f t="shared" si="6"/>
        <v>0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5"/>
    </row>
    <row r="57" spans="1:13" ht="14.55" customHeight="1" x14ac:dyDescent="0.3">
      <c r="A57" s="30">
        <v>45998</v>
      </c>
      <c r="B57" s="49">
        <f t="shared" si="6"/>
        <v>0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5"/>
    </row>
    <row r="58" spans="1:13" ht="14.55" customHeight="1" x14ac:dyDescent="0.3">
      <c r="A58" s="30">
        <v>45999</v>
      </c>
      <c r="B58" s="49">
        <f t="shared" si="6"/>
        <v>0</v>
      </c>
      <c r="C58" s="6"/>
      <c r="D58" s="6"/>
      <c r="E58" s="6"/>
      <c r="F58" s="6"/>
      <c r="G58" s="6"/>
      <c r="H58" s="6"/>
      <c r="I58" s="6"/>
      <c r="J58" s="6"/>
      <c r="K58" s="6"/>
      <c r="L58" s="6"/>
      <c r="M58" s="5"/>
    </row>
    <row r="59" spans="1:13" ht="14.55" customHeight="1" x14ac:dyDescent="0.3">
      <c r="A59" s="30">
        <v>46000</v>
      </c>
      <c r="B59" s="49">
        <f t="shared" si="6"/>
        <v>0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13"/>
    </row>
    <row r="60" spans="1:13" ht="14.55" customHeight="1" x14ac:dyDescent="0.3">
      <c r="A60" s="30">
        <v>46001</v>
      </c>
      <c r="B60" s="49">
        <f t="shared" si="6"/>
        <v>0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13"/>
    </row>
    <row r="61" spans="1:13" ht="14.55" customHeight="1" x14ac:dyDescent="0.3">
      <c r="A61" s="62" t="s">
        <v>29</v>
      </c>
      <c r="B61" s="63">
        <f>SUM(B46:B60)</f>
        <v>0</v>
      </c>
      <c r="C61" s="63">
        <f>SUM(C46:C60)</f>
        <v>0</v>
      </c>
      <c r="D61" s="63">
        <f t="shared" ref="D61:L61" si="7">SUM(D46:D60)</f>
        <v>0</v>
      </c>
      <c r="E61" s="63">
        <f t="shared" si="7"/>
        <v>0</v>
      </c>
      <c r="F61" s="63">
        <f t="shared" si="7"/>
        <v>0</v>
      </c>
      <c r="G61" s="63">
        <f t="shared" si="7"/>
        <v>0</v>
      </c>
      <c r="H61" s="63">
        <f t="shared" si="7"/>
        <v>0</v>
      </c>
      <c r="I61" s="63">
        <f t="shared" si="7"/>
        <v>0</v>
      </c>
      <c r="J61" s="63">
        <f t="shared" si="7"/>
        <v>0</v>
      </c>
      <c r="K61" s="63">
        <f t="shared" si="7"/>
        <v>0</v>
      </c>
      <c r="L61" s="63">
        <f t="shared" si="7"/>
        <v>0</v>
      </c>
      <c r="M61" s="73"/>
    </row>
    <row r="62" spans="1:13" s="33" customFormat="1" ht="14.55" customHeight="1" x14ac:dyDescent="0.3">
      <c r="A62" s="31" t="s">
        <v>20</v>
      </c>
      <c r="B62" s="32">
        <f>B43+B61</f>
        <v>5</v>
      </c>
      <c r="C62" s="32">
        <f>SUM(C43,C61)</f>
        <v>1</v>
      </c>
      <c r="D62" s="32">
        <f t="shared" ref="D62:L62" si="8">SUM(D43,D61)</f>
        <v>1</v>
      </c>
      <c r="E62" s="32">
        <f t="shared" si="8"/>
        <v>1</v>
      </c>
      <c r="F62" s="32">
        <f t="shared" si="8"/>
        <v>2</v>
      </c>
      <c r="G62" s="32">
        <f t="shared" si="8"/>
        <v>0</v>
      </c>
      <c r="H62" s="32">
        <f t="shared" si="8"/>
        <v>0</v>
      </c>
      <c r="I62" s="32">
        <f t="shared" si="8"/>
        <v>0</v>
      </c>
      <c r="J62" s="32">
        <f t="shared" si="8"/>
        <v>0</v>
      </c>
      <c r="K62" s="32">
        <f t="shared" si="8"/>
        <v>0</v>
      </c>
      <c r="L62" s="32">
        <f t="shared" si="8"/>
        <v>0</v>
      </c>
      <c r="M62" s="34"/>
    </row>
  </sheetData>
  <phoneticPr fontId="13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6A844-05E4-4E8D-9212-4FE9C40E5111}">
  <dimension ref="A1:M62"/>
  <sheetViews>
    <sheetView workbookViewId="0">
      <selection activeCell="A16" sqref="A16"/>
    </sheetView>
  </sheetViews>
  <sheetFormatPr defaultRowHeight="14.4" x14ac:dyDescent="0.3"/>
  <cols>
    <col min="1" max="1" width="35.77734375" style="28" customWidth="1"/>
    <col min="2" max="2" width="16.21875" style="27" bestFit="1" customWidth="1"/>
    <col min="3" max="12" width="5.6640625" style="27" customWidth="1"/>
    <col min="13" max="13" width="100.5546875" style="29" customWidth="1"/>
  </cols>
  <sheetData>
    <row r="1" spans="1:13" ht="14.55" customHeight="1" x14ac:dyDescent="0.3">
      <c r="A1" s="7" t="s">
        <v>82</v>
      </c>
    </row>
    <row r="2" spans="1:13" ht="14.55" customHeight="1" x14ac:dyDescent="0.3">
      <c r="A2" s="26"/>
    </row>
    <row r="3" spans="1:13" ht="14.55" customHeight="1" x14ac:dyDescent="0.3">
      <c r="A3" s="35" t="s">
        <v>18</v>
      </c>
    </row>
    <row r="4" spans="1:13" ht="14.55" customHeight="1" x14ac:dyDescent="0.3">
      <c r="A4" s="28" t="s">
        <v>21</v>
      </c>
      <c r="B4" s="76" t="s">
        <v>81</v>
      </c>
      <c r="C4" s="29"/>
      <c r="D4" s="29"/>
      <c r="E4" s="29"/>
      <c r="F4" s="29"/>
      <c r="G4" s="29"/>
      <c r="H4" s="29"/>
      <c r="I4" s="29"/>
      <c r="J4" s="29"/>
      <c r="K4" s="29"/>
      <c r="L4" s="29"/>
    </row>
    <row r="5" spans="1:13" ht="14.55" customHeight="1" x14ac:dyDescent="0.3">
      <c r="A5" s="28" t="s">
        <v>19</v>
      </c>
      <c r="B5" s="29" t="s">
        <v>22</v>
      </c>
      <c r="C5" s="29"/>
      <c r="D5" s="29"/>
      <c r="E5" s="29"/>
      <c r="F5" s="29"/>
      <c r="G5" s="29"/>
      <c r="H5" s="29"/>
      <c r="I5" s="29"/>
      <c r="J5" s="29"/>
      <c r="K5" s="29"/>
      <c r="L5" s="29"/>
    </row>
    <row r="7" spans="1:13" s="1" customFormat="1" ht="14.55" customHeight="1" x14ac:dyDescent="0.3">
      <c r="A7" s="64" t="s">
        <v>24</v>
      </c>
      <c r="B7" s="65" t="s">
        <v>11</v>
      </c>
      <c r="C7" s="65" t="s">
        <v>46</v>
      </c>
      <c r="D7" s="65" t="s">
        <v>47</v>
      </c>
      <c r="E7" s="65" t="s">
        <v>48</v>
      </c>
      <c r="F7" s="65" t="s">
        <v>49</v>
      </c>
      <c r="G7" s="65" t="s">
        <v>50</v>
      </c>
      <c r="H7" s="65" t="s">
        <v>51</v>
      </c>
      <c r="I7" s="65" t="s">
        <v>52</v>
      </c>
      <c r="J7" s="65" t="s">
        <v>53</v>
      </c>
      <c r="K7" s="65" t="s">
        <v>54</v>
      </c>
      <c r="L7" s="65" t="s">
        <v>55</v>
      </c>
      <c r="M7" s="68" t="s">
        <v>23</v>
      </c>
    </row>
    <row r="8" spans="1:13" s="1" customFormat="1" ht="14.55" customHeight="1" x14ac:dyDescent="0.3">
      <c r="A8" s="36">
        <v>45957</v>
      </c>
      <c r="B8" s="49">
        <f>SUM(C8:L8)</f>
        <v>0</v>
      </c>
      <c r="C8" s="6"/>
      <c r="D8" s="6"/>
      <c r="E8" s="6"/>
      <c r="F8" s="6"/>
      <c r="G8" s="6"/>
      <c r="H8" s="6"/>
      <c r="I8" s="6"/>
      <c r="J8" s="6"/>
      <c r="K8" s="6"/>
      <c r="L8" s="6"/>
      <c r="M8" s="5"/>
    </row>
    <row r="9" spans="1:13" s="1" customFormat="1" ht="14.55" customHeight="1" x14ac:dyDescent="0.3">
      <c r="A9" s="36">
        <v>45958</v>
      </c>
      <c r="B9" s="49">
        <f t="shared" ref="B9:B22" si="0">SUM(C9:L9)</f>
        <v>0</v>
      </c>
      <c r="C9" s="6"/>
      <c r="D9" s="6"/>
      <c r="E9" s="6"/>
      <c r="F9" s="6"/>
      <c r="G9" s="6"/>
      <c r="H9" s="6"/>
      <c r="I9" s="6"/>
      <c r="J9" s="6"/>
      <c r="K9" s="6"/>
      <c r="L9" s="6"/>
      <c r="M9" s="5"/>
    </row>
    <row r="10" spans="1:13" s="1" customFormat="1" ht="14.55" customHeight="1" x14ac:dyDescent="0.3">
      <c r="A10" s="36">
        <v>45959</v>
      </c>
      <c r="B10" s="49">
        <f t="shared" si="0"/>
        <v>0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5"/>
    </row>
    <row r="11" spans="1:13" s="1" customFormat="1" ht="14.55" customHeight="1" x14ac:dyDescent="0.3">
      <c r="A11" s="36">
        <v>45960</v>
      </c>
      <c r="B11" s="49">
        <f t="shared" si="0"/>
        <v>0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5"/>
    </row>
    <row r="12" spans="1:13" s="1" customFormat="1" ht="14.55" customHeight="1" x14ac:dyDescent="0.3">
      <c r="A12" s="36">
        <v>45961</v>
      </c>
      <c r="B12" s="49">
        <f t="shared" si="0"/>
        <v>0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5"/>
    </row>
    <row r="13" spans="1:13" s="1" customFormat="1" ht="14.55" customHeight="1" x14ac:dyDescent="0.3">
      <c r="A13" s="36">
        <v>45962</v>
      </c>
      <c r="B13" s="49">
        <f t="shared" si="0"/>
        <v>0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5"/>
    </row>
    <row r="14" spans="1:13" s="1" customFormat="1" ht="14.55" customHeight="1" x14ac:dyDescent="0.3">
      <c r="A14" s="36">
        <v>45963</v>
      </c>
      <c r="B14" s="49">
        <f t="shared" si="0"/>
        <v>0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5"/>
    </row>
    <row r="15" spans="1:13" ht="14.55" customHeight="1" x14ac:dyDescent="0.3">
      <c r="A15" s="36">
        <v>45964</v>
      </c>
      <c r="B15" s="49">
        <f t="shared" si="0"/>
        <v>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13"/>
    </row>
    <row r="16" spans="1:13" ht="14.55" customHeight="1" x14ac:dyDescent="0.3">
      <c r="A16" s="36">
        <v>45965</v>
      </c>
      <c r="B16" s="49">
        <f t="shared" si="0"/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13"/>
    </row>
    <row r="17" spans="1:13" ht="14.55" customHeight="1" x14ac:dyDescent="0.3">
      <c r="A17" s="36">
        <v>45966</v>
      </c>
      <c r="B17" s="49">
        <f t="shared" si="0"/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13"/>
    </row>
    <row r="18" spans="1:13" ht="14.55" customHeight="1" x14ac:dyDescent="0.3">
      <c r="A18" s="36">
        <v>45967</v>
      </c>
      <c r="B18" s="49">
        <f t="shared" si="0"/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13"/>
    </row>
    <row r="19" spans="1:13" ht="14.55" customHeight="1" x14ac:dyDescent="0.3">
      <c r="A19" s="36">
        <v>45968</v>
      </c>
      <c r="B19" s="49">
        <f t="shared" si="0"/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13"/>
    </row>
    <row r="20" spans="1:13" ht="14.55" customHeight="1" x14ac:dyDescent="0.3">
      <c r="A20" s="36">
        <v>45969</v>
      </c>
      <c r="B20" s="49">
        <f t="shared" si="0"/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13"/>
    </row>
    <row r="21" spans="1:13" ht="14.55" customHeight="1" x14ac:dyDescent="0.3">
      <c r="A21" s="36">
        <v>45970</v>
      </c>
      <c r="B21" s="49">
        <f t="shared" si="0"/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13"/>
    </row>
    <row r="22" spans="1:13" ht="14.55" customHeight="1" x14ac:dyDescent="0.3">
      <c r="A22" s="36">
        <v>45971</v>
      </c>
      <c r="B22" s="49">
        <f t="shared" si="0"/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13"/>
    </row>
    <row r="23" spans="1:13" ht="14.55" customHeight="1" x14ac:dyDescent="0.3">
      <c r="A23" s="45" t="s">
        <v>29</v>
      </c>
      <c r="B23" s="46">
        <f>SUM(B8:B22)</f>
        <v>0</v>
      </c>
      <c r="C23" s="46">
        <f>SUM(C8:C22)</f>
        <v>0</v>
      </c>
      <c r="D23" s="46">
        <f t="shared" ref="D23:L23" si="1">SUM(D8:D22)</f>
        <v>0</v>
      </c>
      <c r="E23" s="46">
        <f t="shared" si="1"/>
        <v>0</v>
      </c>
      <c r="F23" s="46">
        <f t="shared" si="1"/>
        <v>0</v>
      </c>
      <c r="G23" s="46">
        <f t="shared" si="1"/>
        <v>0</v>
      </c>
      <c r="H23" s="46">
        <f t="shared" si="1"/>
        <v>0</v>
      </c>
      <c r="I23" s="46">
        <f t="shared" si="1"/>
        <v>0</v>
      </c>
      <c r="J23" s="46">
        <f t="shared" si="1"/>
        <v>0</v>
      </c>
      <c r="K23" s="46">
        <f t="shared" si="1"/>
        <v>0</v>
      </c>
      <c r="L23" s="46">
        <f t="shared" si="1"/>
        <v>0</v>
      </c>
      <c r="M23" s="69"/>
    </row>
    <row r="24" spans="1:13" s="33" customFormat="1" ht="14.55" customHeight="1" x14ac:dyDescent="0.3">
      <c r="A24" s="31" t="s">
        <v>20</v>
      </c>
      <c r="B24" s="32">
        <f>B23</f>
        <v>0</v>
      </c>
      <c r="C24" s="32">
        <f>C23</f>
        <v>0</v>
      </c>
      <c r="D24" s="32">
        <f t="shared" ref="D24:L24" si="2">D23</f>
        <v>0</v>
      </c>
      <c r="E24" s="32">
        <f t="shared" si="2"/>
        <v>0</v>
      </c>
      <c r="F24" s="32">
        <f t="shared" si="2"/>
        <v>0</v>
      </c>
      <c r="G24" s="32">
        <f t="shared" si="2"/>
        <v>0</v>
      </c>
      <c r="H24" s="32">
        <f t="shared" si="2"/>
        <v>0</v>
      </c>
      <c r="I24" s="32">
        <f t="shared" si="2"/>
        <v>0</v>
      </c>
      <c r="J24" s="32">
        <f t="shared" si="2"/>
        <v>0</v>
      </c>
      <c r="K24" s="32">
        <f t="shared" si="2"/>
        <v>0</v>
      </c>
      <c r="L24" s="32">
        <f t="shared" si="2"/>
        <v>0</v>
      </c>
      <c r="M24" s="34"/>
    </row>
    <row r="26" spans="1:13" ht="14.55" customHeight="1" x14ac:dyDescent="0.3">
      <c r="A26" s="66" t="s">
        <v>30</v>
      </c>
      <c r="B26" s="57" t="s">
        <v>11</v>
      </c>
      <c r="C26" s="57" t="s">
        <v>56</v>
      </c>
      <c r="D26" s="57" t="s">
        <v>57</v>
      </c>
      <c r="E26" s="57" t="s">
        <v>58</v>
      </c>
      <c r="F26" s="57" t="s">
        <v>59</v>
      </c>
      <c r="G26" s="57" t="s">
        <v>60</v>
      </c>
      <c r="H26" s="57" t="s">
        <v>61</v>
      </c>
      <c r="I26" s="57" t="s">
        <v>62</v>
      </c>
      <c r="J26" s="57" t="s">
        <v>63</v>
      </c>
      <c r="K26" s="57" t="s">
        <v>64</v>
      </c>
      <c r="L26" s="57" t="s">
        <v>65</v>
      </c>
      <c r="M26" s="70" t="s">
        <v>23</v>
      </c>
    </row>
    <row r="27" spans="1:13" ht="14.55" customHeight="1" x14ac:dyDescent="0.3">
      <c r="A27" s="30">
        <v>45972</v>
      </c>
      <c r="B27" s="49">
        <f>SUM(C27:L27)</f>
        <v>0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5"/>
    </row>
    <row r="28" spans="1:13" ht="14.55" customHeight="1" x14ac:dyDescent="0.3">
      <c r="A28" s="30">
        <v>45973</v>
      </c>
      <c r="B28" s="49">
        <f t="shared" ref="B28:B41" si="3">SUM(C28:L28)</f>
        <v>0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5"/>
    </row>
    <row r="29" spans="1:13" ht="14.55" customHeight="1" x14ac:dyDescent="0.3">
      <c r="A29" s="30">
        <v>45974</v>
      </c>
      <c r="B29" s="49">
        <f t="shared" si="3"/>
        <v>0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5"/>
    </row>
    <row r="30" spans="1:13" ht="14.55" customHeight="1" x14ac:dyDescent="0.3">
      <c r="A30" s="30">
        <v>45975</v>
      </c>
      <c r="B30" s="49">
        <f t="shared" si="3"/>
        <v>0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5"/>
    </row>
    <row r="31" spans="1:13" ht="14.55" customHeight="1" x14ac:dyDescent="0.3">
      <c r="A31" s="30">
        <v>45976</v>
      </c>
      <c r="B31" s="49">
        <f t="shared" si="3"/>
        <v>0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5"/>
    </row>
    <row r="32" spans="1:13" ht="14.55" customHeight="1" x14ac:dyDescent="0.3">
      <c r="A32" s="30">
        <v>45977</v>
      </c>
      <c r="B32" s="49">
        <f t="shared" si="3"/>
        <v>0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5"/>
    </row>
    <row r="33" spans="1:13" ht="14.55" customHeight="1" x14ac:dyDescent="0.3">
      <c r="A33" s="30">
        <v>45978</v>
      </c>
      <c r="B33" s="49">
        <f t="shared" si="3"/>
        <v>0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5"/>
    </row>
    <row r="34" spans="1:13" ht="14.55" customHeight="1" x14ac:dyDescent="0.3">
      <c r="A34" s="30">
        <v>45979</v>
      </c>
      <c r="B34" s="49">
        <f t="shared" si="3"/>
        <v>0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5"/>
    </row>
    <row r="35" spans="1:13" ht="14.55" customHeight="1" x14ac:dyDescent="0.3">
      <c r="A35" s="30">
        <v>45980</v>
      </c>
      <c r="B35" s="49">
        <f t="shared" si="3"/>
        <v>0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5"/>
    </row>
    <row r="36" spans="1:13" ht="14.55" customHeight="1" x14ac:dyDescent="0.3">
      <c r="A36" s="30">
        <v>45981</v>
      </c>
      <c r="B36" s="49">
        <f t="shared" si="3"/>
        <v>0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5"/>
    </row>
    <row r="37" spans="1:13" ht="14.55" customHeight="1" x14ac:dyDescent="0.3">
      <c r="A37" s="30">
        <v>45982</v>
      </c>
      <c r="B37" s="49">
        <f t="shared" si="3"/>
        <v>0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5"/>
    </row>
    <row r="38" spans="1:13" ht="14.55" customHeight="1" x14ac:dyDescent="0.3">
      <c r="A38" s="30">
        <v>45983</v>
      </c>
      <c r="B38" s="49">
        <f t="shared" si="3"/>
        <v>0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5"/>
    </row>
    <row r="39" spans="1:13" ht="14.55" customHeight="1" x14ac:dyDescent="0.3">
      <c r="A39" s="30">
        <v>45984</v>
      </c>
      <c r="B39" s="49">
        <f t="shared" si="3"/>
        <v>0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5"/>
    </row>
    <row r="40" spans="1:13" ht="14.55" customHeight="1" x14ac:dyDescent="0.3">
      <c r="A40" s="30">
        <v>45985</v>
      </c>
      <c r="B40" s="49">
        <f t="shared" si="3"/>
        <v>0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5"/>
    </row>
    <row r="41" spans="1:13" ht="14.55" customHeight="1" x14ac:dyDescent="0.3">
      <c r="A41" s="30">
        <v>45986</v>
      </c>
      <c r="B41" s="49">
        <f t="shared" si="3"/>
        <v>0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5"/>
    </row>
    <row r="42" spans="1:13" ht="14.55" customHeight="1" x14ac:dyDescent="0.3">
      <c r="A42" s="47" t="s">
        <v>29</v>
      </c>
      <c r="B42" s="48">
        <f>SUM(B27:B41)</f>
        <v>0</v>
      </c>
      <c r="C42" s="48">
        <f>SUM(C27:C41)</f>
        <v>0</v>
      </c>
      <c r="D42" s="48">
        <f t="shared" ref="D42:L42" si="4">SUM(D27:D41)</f>
        <v>0</v>
      </c>
      <c r="E42" s="48">
        <f t="shared" si="4"/>
        <v>0</v>
      </c>
      <c r="F42" s="48">
        <f t="shared" si="4"/>
        <v>0</v>
      </c>
      <c r="G42" s="48">
        <f t="shared" si="4"/>
        <v>0</v>
      </c>
      <c r="H42" s="48">
        <f t="shared" si="4"/>
        <v>0</v>
      </c>
      <c r="I42" s="48">
        <f t="shared" si="4"/>
        <v>0</v>
      </c>
      <c r="J42" s="48">
        <f t="shared" si="4"/>
        <v>0</v>
      </c>
      <c r="K42" s="48">
        <f t="shared" si="4"/>
        <v>0</v>
      </c>
      <c r="L42" s="48">
        <f t="shared" si="4"/>
        <v>0</v>
      </c>
      <c r="M42" s="71"/>
    </row>
    <row r="43" spans="1:13" s="33" customFormat="1" ht="14.55" customHeight="1" x14ac:dyDescent="0.3">
      <c r="A43" s="31" t="s">
        <v>20</v>
      </c>
      <c r="B43" s="32">
        <f>B24+B42</f>
        <v>0</v>
      </c>
      <c r="C43" s="32">
        <f>SUM(C24,C42)</f>
        <v>0</v>
      </c>
      <c r="D43" s="32">
        <f t="shared" ref="D43:L43" si="5">SUM(D24,D42)</f>
        <v>0</v>
      </c>
      <c r="E43" s="32">
        <f t="shared" si="5"/>
        <v>0</v>
      </c>
      <c r="F43" s="32">
        <f t="shared" si="5"/>
        <v>0</v>
      </c>
      <c r="G43" s="32">
        <f t="shared" si="5"/>
        <v>0</v>
      </c>
      <c r="H43" s="32">
        <f t="shared" si="5"/>
        <v>0</v>
      </c>
      <c r="I43" s="32">
        <f t="shared" si="5"/>
        <v>0</v>
      </c>
      <c r="J43" s="32">
        <f t="shared" si="5"/>
        <v>0</v>
      </c>
      <c r="K43" s="32">
        <f t="shared" si="5"/>
        <v>0</v>
      </c>
      <c r="L43" s="32">
        <f t="shared" si="5"/>
        <v>0</v>
      </c>
      <c r="M43" s="34"/>
    </row>
    <row r="45" spans="1:13" ht="14.55" customHeight="1" x14ac:dyDescent="0.3">
      <c r="A45" s="67" t="s">
        <v>31</v>
      </c>
      <c r="B45" s="61" t="s">
        <v>11</v>
      </c>
      <c r="C45" s="61" t="s">
        <v>66</v>
      </c>
      <c r="D45" s="61" t="s">
        <v>67</v>
      </c>
      <c r="E45" s="61" t="s">
        <v>68</v>
      </c>
      <c r="F45" s="61" t="s">
        <v>69</v>
      </c>
      <c r="G45" s="61" t="s">
        <v>70</v>
      </c>
      <c r="H45" s="61" t="s">
        <v>71</v>
      </c>
      <c r="I45" s="61" t="s">
        <v>72</v>
      </c>
      <c r="J45" s="61" t="s">
        <v>73</v>
      </c>
      <c r="K45" s="61" t="s">
        <v>74</v>
      </c>
      <c r="L45" s="61" t="s">
        <v>75</v>
      </c>
      <c r="M45" s="72" t="s">
        <v>23</v>
      </c>
    </row>
    <row r="46" spans="1:13" ht="14.55" customHeight="1" x14ac:dyDescent="0.3">
      <c r="A46" s="30">
        <v>45987</v>
      </c>
      <c r="B46" s="49">
        <f>SUM(C46:L46)</f>
        <v>0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5"/>
    </row>
    <row r="47" spans="1:13" ht="14.55" customHeight="1" x14ac:dyDescent="0.3">
      <c r="A47" s="30">
        <v>45988</v>
      </c>
      <c r="B47" s="49">
        <f t="shared" ref="B47:B60" si="6">SUM(C47:L47)</f>
        <v>0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5"/>
    </row>
    <row r="48" spans="1:13" ht="14.55" customHeight="1" x14ac:dyDescent="0.3">
      <c r="A48" s="30">
        <v>45989</v>
      </c>
      <c r="B48" s="49">
        <f t="shared" si="6"/>
        <v>0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5"/>
    </row>
    <row r="49" spans="1:13" ht="14.55" customHeight="1" x14ac:dyDescent="0.3">
      <c r="A49" s="30">
        <v>45990</v>
      </c>
      <c r="B49" s="49">
        <f t="shared" si="6"/>
        <v>0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5"/>
    </row>
    <row r="50" spans="1:13" ht="14.55" customHeight="1" x14ac:dyDescent="0.3">
      <c r="A50" s="30">
        <v>45991</v>
      </c>
      <c r="B50" s="49">
        <f t="shared" si="6"/>
        <v>0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5"/>
    </row>
    <row r="51" spans="1:13" ht="14.55" customHeight="1" x14ac:dyDescent="0.3">
      <c r="A51" s="30">
        <v>45992</v>
      </c>
      <c r="B51" s="49">
        <f t="shared" si="6"/>
        <v>0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5"/>
    </row>
    <row r="52" spans="1:13" ht="14.55" customHeight="1" x14ac:dyDescent="0.3">
      <c r="A52" s="30">
        <v>45993</v>
      </c>
      <c r="B52" s="49">
        <f t="shared" si="6"/>
        <v>0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5"/>
    </row>
    <row r="53" spans="1:13" ht="14.55" customHeight="1" x14ac:dyDescent="0.3">
      <c r="A53" s="30">
        <v>45994</v>
      </c>
      <c r="B53" s="49">
        <f t="shared" si="6"/>
        <v>0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5"/>
    </row>
    <row r="54" spans="1:13" ht="14.55" customHeight="1" x14ac:dyDescent="0.3">
      <c r="A54" s="30">
        <v>45995</v>
      </c>
      <c r="B54" s="49">
        <f t="shared" si="6"/>
        <v>0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5"/>
    </row>
    <row r="55" spans="1:13" ht="14.55" customHeight="1" x14ac:dyDescent="0.3">
      <c r="A55" s="30">
        <v>45996</v>
      </c>
      <c r="B55" s="49">
        <f t="shared" si="6"/>
        <v>0</v>
      </c>
      <c r="C55" s="6"/>
      <c r="D55" s="6"/>
      <c r="E55" s="6"/>
      <c r="F55" s="6"/>
      <c r="G55" s="6"/>
      <c r="H55" s="6"/>
      <c r="I55" s="6"/>
      <c r="J55" s="6"/>
      <c r="K55" s="6"/>
      <c r="L55" s="6"/>
      <c r="M55" s="5"/>
    </row>
    <row r="56" spans="1:13" ht="14.55" customHeight="1" x14ac:dyDescent="0.3">
      <c r="A56" s="30">
        <v>45997</v>
      </c>
      <c r="B56" s="49">
        <f t="shared" si="6"/>
        <v>0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5"/>
    </row>
    <row r="57" spans="1:13" ht="14.55" customHeight="1" x14ac:dyDescent="0.3">
      <c r="A57" s="30">
        <v>45998</v>
      </c>
      <c r="B57" s="49">
        <f t="shared" si="6"/>
        <v>0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5"/>
    </row>
    <row r="58" spans="1:13" ht="14.55" customHeight="1" x14ac:dyDescent="0.3">
      <c r="A58" s="30">
        <v>45999</v>
      </c>
      <c r="B58" s="49">
        <f t="shared" si="6"/>
        <v>0</v>
      </c>
      <c r="C58" s="6"/>
      <c r="D58" s="6"/>
      <c r="E58" s="6"/>
      <c r="F58" s="6"/>
      <c r="G58" s="6"/>
      <c r="H58" s="6"/>
      <c r="I58" s="6"/>
      <c r="J58" s="6"/>
      <c r="K58" s="6"/>
      <c r="L58" s="6"/>
      <c r="M58" s="5"/>
    </row>
    <row r="59" spans="1:13" ht="14.55" customHeight="1" x14ac:dyDescent="0.3">
      <c r="A59" s="30">
        <v>46000</v>
      </c>
      <c r="B59" s="49">
        <f t="shared" si="6"/>
        <v>0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13"/>
    </row>
    <row r="60" spans="1:13" ht="14.55" customHeight="1" x14ac:dyDescent="0.3">
      <c r="A60" s="30">
        <v>46001</v>
      </c>
      <c r="B60" s="49">
        <f t="shared" si="6"/>
        <v>0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13"/>
    </row>
    <row r="61" spans="1:13" ht="14.55" customHeight="1" x14ac:dyDescent="0.3">
      <c r="A61" s="62" t="s">
        <v>29</v>
      </c>
      <c r="B61" s="63">
        <f>SUM(B46:B60)</f>
        <v>0</v>
      </c>
      <c r="C61" s="63">
        <f>SUM(C46:C60)</f>
        <v>0</v>
      </c>
      <c r="D61" s="63">
        <f t="shared" ref="D61:L61" si="7">SUM(D46:D60)</f>
        <v>0</v>
      </c>
      <c r="E61" s="63">
        <f t="shared" si="7"/>
        <v>0</v>
      </c>
      <c r="F61" s="63">
        <f t="shared" si="7"/>
        <v>0</v>
      </c>
      <c r="G61" s="63">
        <f t="shared" si="7"/>
        <v>0</v>
      </c>
      <c r="H61" s="63">
        <f t="shared" si="7"/>
        <v>0</v>
      </c>
      <c r="I61" s="63">
        <f t="shared" si="7"/>
        <v>0</v>
      </c>
      <c r="J61" s="63">
        <f t="shared" si="7"/>
        <v>0</v>
      </c>
      <c r="K61" s="63">
        <f t="shared" si="7"/>
        <v>0</v>
      </c>
      <c r="L61" s="63">
        <f t="shared" si="7"/>
        <v>0</v>
      </c>
      <c r="M61" s="73"/>
    </row>
    <row r="62" spans="1:13" s="33" customFormat="1" ht="14.55" customHeight="1" x14ac:dyDescent="0.3">
      <c r="A62" s="31" t="s">
        <v>20</v>
      </c>
      <c r="B62" s="32">
        <f>B43+B61</f>
        <v>0</v>
      </c>
      <c r="C62" s="32">
        <f>SUM(C43,C61)</f>
        <v>0</v>
      </c>
      <c r="D62" s="32">
        <f t="shared" ref="D62:L62" si="8">SUM(D43,D61)</f>
        <v>0</v>
      </c>
      <c r="E62" s="32">
        <f t="shared" si="8"/>
        <v>0</v>
      </c>
      <c r="F62" s="32">
        <f t="shared" si="8"/>
        <v>0</v>
      </c>
      <c r="G62" s="32">
        <f t="shared" si="8"/>
        <v>0</v>
      </c>
      <c r="H62" s="32">
        <f t="shared" si="8"/>
        <v>0</v>
      </c>
      <c r="I62" s="32">
        <f t="shared" si="8"/>
        <v>0</v>
      </c>
      <c r="J62" s="32">
        <f t="shared" si="8"/>
        <v>0</v>
      </c>
      <c r="K62" s="32">
        <f t="shared" si="8"/>
        <v>0</v>
      </c>
      <c r="L62" s="32">
        <f t="shared" si="8"/>
        <v>0</v>
      </c>
      <c r="M62" s="3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71955-DE86-4A24-917A-7371F3252F95}">
  <dimension ref="A1:M62"/>
  <sheetViews>
    <sheetView workbookViewId="0">
      <selection activeCell="C8" sqref="C8"/>
    </sheetView>
  </sheetViews>
  <sheetFormatPr defaultRowHeight="14.4" x14ac:dyDescent="0.3"/>
  <cols>
    <col min="1" max="1" width="35.77734375" style="28" customWidth="1"/>
    <col min="2" max="2" width="16.21875" style="27" bestFit="1" customWidth="1"/>
    <col min="3" max="12" width="5.6640625" style="27" customWidth="1"/>
    <col min="13" max="13" width="100.5546875" style="29" customWidth="1"/>
  </cols>
  <sheetData>
    <row r="1" spans="1:13" ht="14.55" customHeight="1" x14ac:dyDescent="0.3">
      <c r="A1" s="7" t="s">
        <v>82</v>
      </c>
    </row>
    <row r="2" spans="1:13" ht="14.55" customHeight="1" x14ac:dyDescent="0.3">
      <c r="A2" s="26"/>
    </row>
    <row r="3" spans="1:13" ht="14.55" customHeight="1" x14ac:dyDescent="0.3">
      <c r="A3" s="35" t="s">
        <v>18</v>
      </c>
    </row>
    <row r="4" spans="1:13" ht="14.55" customHeight="1" x14ac:dyDescent="0.3">
      <c r="A4" s="28" t="s">
        <v>21</v>
      </c>
      <c r="B4" s="76" t="s">
        <v>81</v>
      </c>
      <c r="C4" s="29"/>
      <c r="D4" s="29"/>
      <c r="E4" s="29"/>
      <c r="F4" s="29"/>
      <c r="G4" s="29"/>
      <c r="H4" s="29"/>
      <c r="I4" s="29"/>
      <c r="J4" s="29"/>
      <c r="K4" s="29"/>
      <c r="L4" s="29"/>
    </row>
    <row r="5" spans="1:13" ht="14.55" customHeight="1" x14ac:dyDescent="0.3">
      <c r="A5" s="28" t="s">
        <v>19</v>
      </c>
      <c r="B5" s="29" t="s">
        <v>22</v>
      </c>
      <c r="C5" s="29"/>
      <c r="D5" s="29"/>
      <c r="E5" s="29"/>
      <c r="F5" s="29"/>
      <c r="G5" s="29"/>
      <c r="H5" s="29"/>
      <c r="I5" s="29"/>
      <c r="J5" s="29"/>
      <c r="K5" s="29"/>
      <c r="L5" s="29"/>
    </row>
    <row r="7" spans="1:13" s="1" customFormat="1" ht="14.55" customHeight="1" x14ac:dyDescent="0.3">
      <c r="A7" s="64" t="s">
        <v>24</v>
      </c>
      <c r="B7" s="65" t="s">
        <v>11</v>
      </c>
      <c r="C7" s="65" t="s">
        <v>46</v>
      </c>
      <c r="D7" s="65" t="s">
        <v>47</v>
      </c>
      <c r="E7" s="65" t="s">
        <v>48</v>
      </c>
      <c r="F7" s="65" t="s">
        <v>49</v>
      </c>
      <c r="G7" s="65" t="s">
        <v>50</v>
      </c>
      <c r="H7" s="65" t="s">
        <v>51</v>
      </c>
      <c r="I7" s="65" t="s">
        <v>52</v>
      </c>
      <c r="J7" s="65" t="s">
        <v>53</v>
      </c>
      <c r="K7" s="65" t="s">
        <v>54</v>
      </c>
      <c r="L7" s="65" t="s">
        <v>55</v>
      </c>
      <c r="M7" s="68" t="s">
        <v>23</v>
      </c>
    </row>
    <row r="8" spans="1:13" s="1" customFormat="1" ht="14.55" customHeight="1" x14ac:dyDescent="0.3">
      <c r="A8" s="36">
        <v>45957</v>
      </c>
      <c r="B8" s="49">
        <f>SUM(C8:L8)</f>
        <v>0</v>
      </c>
      <c r="C8" s="6"/>
      <c r="D8" s="6"/>
      <c r="E8" s="6"/>
      <c r="F8" s="6"/>
      <c r="G8" s="6"/>
      <c r="H8" s="6"/>
      <c r="I8" s="6"/>
      <c r="J8" s="6"/>
      <c r="K8" s="6"/>
      <c r="L8" s="6"/>
      <c r="M8" s="5"/>
    </row>
    <row r="9" spans="1:13" s="1" customFormat="1" ht="14.55" customHeight="1" x14ac:dyDescent="0.3">
      <c r="A9" s="36">
        <v>45958</v>
      </c>
      <c r="B9" s="49">
        <f t="shared" ref="B9:B22" si="0">SUM(C9:L9)</f>
        <v>0</v>
      </c>
      <c r="C9" s="6"/>
      <c r="D9" s="6"/>
      <c r="E9" s="6"/>
      <c r="F9" s="6"/>
      <c r="G9" s="6"/>
      <c r="H9" s="6"/>
      <c r="I9" s="6"/>
      <c r="J9" s="6"/>
      <c r="K9" s="6"/>
      <c r="L9" s="6"/>
      <c r="M9" s="5"/>
    </row>
    <row r="10" spans="1:13" s="1" customFormat="1" ht="14.55" customHeight="1" x14ac:dyDescent="0.3">
      <c r="A10" s="36">
        <v>45959</v>
      </c>
      <c r="B10" s="49">
        <f t="shared" si="0"/>
        <v>0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5"/>
    </row>
    <row r="11" spans="1:13" s="1" customFormat="1" ht="14.55" customHeight="1" x14ac:dyDescent="0.3">
      <c r="A11" s="36">
        <v>45960</v>
      </c>
      <c r="B11" s="49">
        <f t="shared" si="0"/>
        <v>0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5"/>
    </row>
    <row r="12" spans="1:13" s="1" customFormat="1" ht="14.55" customHeight="1" x14ac:dyDescent="0.3">
      <c r="A12" s="36">
        <v>45961</v>
      </c>
      <c r="B12" s="49">
        <f t="shared" si="0"/>
        <v>0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5"/>
    </row>
    <row r="13" spans="1:13" s="1" customFormat="1" ht="14.55" customHeight="1" x14ac:dyDescent="0.3">
      <c r="A13" s="36">
        <v>45962</v>
      </c>
      <c r="B13" s="49">
        <f t="shared" si="0"/>
        <v>0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5"/>
    </row>
    <row r="14" spans="1:13" s="1" customFormat="1" ht="14.55" customHeight="1" x14ac:dyDescent="0.3">
      <c r="A14" s="36">
        <v>45963</v>
      </c>
      <c r="B14" s="49">
        <f t="shared" si="0"/>
        <v>0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5"/>
    </row>
    <row r="15" spans="1:13" ht="14.55" customHeight="1" x14ac:dyDescent="0.3">
      <c r="A15" s="36">
        <v>45964</v>
      </c>
      <c r="B15" s="49">
        <f t="shared" si="0"/>
        <v>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13"/>
    </row>
    <row r="16" spans="1:13" ht="14.55" customHeight="1" x14ac:dyDescent="0.3">
      <c r="A16" s="36">
        <v>45965</v>
      </c>
      <c r="B16" s="49">
        <f t="shared" si="0"/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13"/>
    </row>
    <row r="17" spans="1:13" ht="14.55" customHeight="1" x14ac:dyDescent="0.3">
      <c r="A17" s="36">
        <v>45966</v>
      </c>
      <c r="B17" s="49">
        <f t="shared" si="0"/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13"/>
    </row>
    <row r="18" spans="1:13" ht="14.55" customHeight="1" x14ac:dyDescent="0.3">
      <c r="A18" s="36">
        <v>45967</v>
      </c>
      <c r="B18" s="49">
        <f t="shared" si="0"/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13"/>
    </row>
    <row r="19" spans="1:13" ht="14.55" customHeight="1" x14ac:dyDescent="0.3">
      <c r="A19" s="36">
        <v>45968</v>
      </c>
      <c r="B19" s="49">
        <f t="shared" si="0"/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13"/>
    </row>
    <row r="20" spans="1:13" ht="14.55" customHeight="1" x14ac:dyDescent="0.3">
      <c r="A20" s="36">
        <v>45969</v>
      </c>
      <c r="B20" s="49">
        <f t="shared" si="0"/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13"/>
    </row>
    <row r="21" spans="1:13" ht="14.55" customHeight="1" x14ac:dyDescent="0.3">
      <c r="A21" s="36">
        <v>45970</v>
      </c>
      <c r="B21" s="49">
        <f t="shared" si="0"/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13"/>
    </row>
    <row r="22" spans="1:13" ht="14.55" customHeight="1" x14ac:dyDescent="0.3">
      <c r="A22" s="36">
        <v>45971</v>
      </c>
      <c r="B22" s="49">
        <f t="shared" si="0"/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13"/>
    </row>
    <row r="23" spans="1:13" ht="14.55" customHeight="1" x14ac:dyDescent="0.3">
      <c r="A23" s="45" t="s">
        <v>29</v>
      </c>
      <c r="B23" s="46">
        <f>SUM(B8:B22)</f>
        <v>0</v>
      </c>
      <c r="C23" s="46">
        <f>SUM(C8:C22)</f>
        <v>0</v>
      </c>
      <c r="D23" s="46">
        <f t="shared" ref="D23:L23" si="1">SUM(D8:D22)</f>
        <v>0</v>
      </c>
      <c r="E23" s="46">
        <f t="shared" si="1"/>
        <v>0</v>
      </c>
      <c r="F23" s="46">
        <f t="shared" si="1"/>
        <v>0</v>
      </c>
      <c r="G23" s="46">
        <f t="shared" si="1"/>
        <v>0</v>
      </c>
      <c r="H23" s="46">
        <f t="shared" si="1"/>
        <v>0</v>
      </c>
      <c r="I23" s="46">
        <f t="shared" si="1"/>
        <v>0</v>
      </c>
      <c r="J23" s="46">
        <f t="shared" si="1"/>
        <v>0</v>
      </c>
      <c r="K23" s="46">
        <f t="shared" si="1"/>
        <v>0</v>
      </c>
      <c r="L23" s="46">
        <f t="shared" si="1"/>
        <v>0</v>
      </c>
      <c r="M23" s="69"/>
    </row>
    <row r="24" spans="1:13" s="33" customFormat="1" ht="14.55" customHeight="1" x14ac:dyDescent="0.3">
      <c r="A24" s="31" t="s">
        <v>20</v>
      </c>
      <c r="B24" s="32">
        <f>B23</f>
        <v>0</v>
      </c>
      <c r="C24" s="32">
        <f>C23</f>
        <v>0</v>
      </c>
      <c r="D24" s="32">
        <f t="shared" ref="D24:L24" si="2">D23</f>
        <v>0</v>
      </c>
      <c r="E24" s="32">
        <f t="shared" si="2"/>
        <v>0</v>
      </c>
      <c r="F24" s="32">
        <f t="shared" si="2"/>
        <v>0</v>
      </c>
      <c r="G24" s="32">
        <f t="shared" si="2"/>
        <v>0</v>
      </c>
      <c r="H24" s="32">
        <f t="shared" si="2"/>
        <v>0</v>
      </c>
      <c r="I24" s="32">
        <f t="shared" si="2"/>
        <v>0</v>
      </c>
      <c r="J24" s="32">
        <f t="shared" si="2"/>
        <v>0</v>
      </c>
      <c r="K24" s="32">
        <f t="shared" si="2"/>
        <v>0</v>
      </c>
      <c r="L24" s="32">
        <f t="shared" si="2"/>
        <v>0</v>
      </c>
      <c r="M24" s="34"/>
    </row>
    <row r="26" spans="1:13" ht="14.55" customHeight="1" x14ac:dyDescent="0.3">
      <c r="A26" s="66" t="s">
        <v>30</v>
      </c>
      <c r="B26" s="57" t="s">
        <v>11</v>
      </c>
      <c r="C26" s="57" t="s">
        <v>56</v>
      </c>
      <c r="D26" s="57" t="s">
        <v>57</v>
      </c>
      <c r="E26" s="57" t="s">
        <v>58</v>
      </c>
      <c r="F26" s="57" t="s">
        <v>59</v>
      </c>
      <c r="G26" s="57" t="s">
        <v>60</v>
      </c>
      <c r="H26" s="57" t="s">
        <v>61</v>
      </c>
      <c r="I26" s="57" t="s">
        <v>62</v>
      </c>
      <c r="J26" s="57" t="s">
        <v>63</v>
      </c>
      <c r="K26" s="57" t="s">
        <v>64</v>
      </c>
      <c r="L26" s="57" t="s">
        <v>65</v>
      </c>
      <c r="M26" s="70" t="s">
        <v>23</v>
      </c>
    </row>
    <row r="27" spans="1:13" ht="14.55" customHeight="1" x14ac:dyDescent="0.3">
      <c r="A27" s="30">
        <v>45972</v>
      </c>
      <c r="B27" s="49">
        <f>SUM(C27:L27)</f>
        <v>0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5"/>
    </row>
    <row r="28" spans="1:13" ht="14.55" customHeight="1" x14ac:dyDescent="0.3">
      <c r="A28" s="30">
        <v>45973</v>
      </c>
      <c r="B28" s="49">
        <f t="shared" ref="B28:B41" si="3">SUM(C28:L28)</f>
        <v>0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5"/>
    </row>
    <row r="29" spans="1:13" ht="14.55" customHeight="1" x14ac:dyDescent="0.3">
      <c r="A29" s="30">
        <v>45974</v>
      </c>
      <c r="B29" s="49">
        <f t="shared" si="3"/>
        <v>0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5"/>
    </row>
    <row r="30" spans="1:13" ht="14.55" customHeight="1" x14ac:dyDescent="0.3">
      <c r="A30" s="30">
        <v>45975</v>
      </c>
      <c r="B30" s="49">
        <f t="shared" si="3"/>
        <v>0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5"/>
    </row>
    <row r="31" spans="1:13" ht="14.55" customHeight="1" x14ac:dyDescent="0.3">
      <c r="A31" s="30">
        <v>45976</v>
      </c>
      <c r="B31" s="49">
        <f t="shared" si="3"/>
        <v>0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5"/>
    </row>
    <row r="32" spans="1:13" ht="14.55" customHeight="1" x14ac:dyDescent="0.3">
      <c r="A32" s="30">
        <v>45977</v>
      </c>
      <c r="B32" s="49">
        <f t="shared" si="3"/>
        <v>0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5"/>
    </row>
    <row r="33" spans="1:13" ht="14.55" customHeight="1" x14ac:dyDescent="0.3">
      <c r="A33" s="30">
        <v>45978</v>
      </c>
      <c r="B33" s="49">
        <f t="shared" si="3"/>
        <v>0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5"/>
    </row>
    <row r="34" spans="1:13" ht="14.55" customHeight="1" x14ac:dyDescent="0.3">
      <c r="A34" s="30">
        <v>45979</v>
      </c>
      <c r="B34" s="49">
        <f t="shared" si="3"/>
        <v>0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5"/>
    </row>
    <row r="35" spans="1:13" ht="14.55" customHeight="1" x14ac:dyDescent="0.3">
      <c r="A35" s="30">
        <v>45980</v>
      </c>
      <c r="B35" s="49">
        <f t="shared" si="3"/>
        <v>0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5"/>
    </row>
    <row r="36" spans="1:13" ht="14.55" customHeight="1" x14ac:dyDescent="0.3">
      <c r="A36" s="30">
        <v>45981</v>
      </c>
      <c r="B36" s="49">
        <f t="shared" si="3"/>
        <v>0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5"/>
    </row>
    <row r="37" spans="1:13" ht="14.55" customHeight="1" x14ac:dyDescent="0.3">
      <c r="A37" s="30">
        <v>45982</v>
      </c>
      <c r="B37" s="49">
        <f t="shared" si="3"/>
        <v>0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5"/>
    </row>
    <row r="38" spans="1:13" ht="14.55" customHeight="1" x14ac:dyDescent="0.3">
      <c r="A38" s="30">
        <v>45983</v>
      </c>
      <c r="B38" s="49">
        <f t="shared" si="3"/>
        <v>0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5"/>
    </row>
    <row r="39" spans="1:13" ht="14.55" customHeight="1" x14ac:dyDescent="0.3">
      <c r="A39" s="30">
        <v>45984</v>
      </c>
      <c r="B39" s="49">
        <f t="shared" si="3"/>
        <v>0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5"/>
    </row>
    <row r="40" spans="1:13" ht="14.55" customHeight="1" x14ac:dyDescent="0.3">
      <c r="A40" s="30">
        <v>45985</v>
      </c>
      <c r="B40" s="49">
        <f t="shared" si="3"/>
        <v>0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5"/>
    </row>
    <row r="41" spans="1:13" ht="14.55" customHeight="1" x14ac:dyDescent="0.3">
      <c r="A41" s="30">
        <v>45986</v>
      </c>
      <c r="B41" s="49">
        <f t="shared" si="3"/>
        <v>0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5"/>
    </row>
    <row r="42" spans="1:13" ht="14.55" customHeight="1" x14ac:dyDescent="0.3">
      <c r="A42" s="47" t="s">
        <v>29</v>
      </c>
      <c r="B42" s="48">
        <f>SUM(B27:B41)</f>
        <v>0</v>
      </c>
      <c r="C42" s="48">
        <f>SUM(C27:C41)</f>
        <v>0</v>
      </c>
      <c r="D42" s="48">
        <f t="shared" ref="D42:L42" si="4">SUM(D27:D41)</f>
        <v>0</v>
      </c>
      <c r="E42" s="48">
        <f t="shared" si="4"/>
        <v>0</v>
      </c>
      <c r="F42" s="48">
        <f t="shared" si="4"/>
        <v>0</v>
      </c>
      <c r="G42" s="48">
        <f t="shared" si="4"/>
        <v>0</v>
      </c>
      <c r="H42" s="48">
        <f t="shared" si="4"/>
        <v>0</v>
      </c>
      <c r="I42" s="48">
        <f t="shared" si="4"/>
        <v>0</v>
      </c>
      <c r="J42" s="48">
        <f t="shared" si="4"/>
        <v>0</v>
      </c>
      <c r="K42" s="48">
        <f t="shared" si="4"/>
        <v>0</v>
      </c>
      <c r="L42" s="48">
        <f t="shared" si="4"/>
        <v>0</v>
      </c>
      <c r="M42" s="71"/>
    </row>
    <row r="43" spans="1:13" s="33" customFormat="1" ht="14.55" customHeight="1" x14ac:dyDescent="0.3">
      <c r="A43" s="31" t="s">
        <v>20</v>
      </c>
      <c r="B43" s="32">
        <f>B24+B42</f>
        <v>0</v>
      </c>
      <c r="C43" s="32">
        <f>SUM(C24,C42)</f>
        <v>0</v>
      </c>
      <c r="D43" s="32">
        <f t="shared" ref="D43:L43" si="5">SUM(D24,D42)</f>
        <v>0</v>
      </c>
      <c r="E43" s="32">
        <f t="shared" si="5"/>
        <v>0</v>
      </c>
      <c r="F43" s="32">
        <f t="shared" si="5"/>
        <v>0</v>
      </c>
      <c r="G43" s="32">
        <f t="shared" si="5"/>
        <v>0</v>
      </c>
      <c r="H43" s="32">
        <f t="shared" si="5"/>
        <v>0</v>
      </c>
      <c r="I43" s="32">
        <f t="shared" si="5"/>
        <v>0</v>
      </c>
      <c r="J43" s="32">
        <f t="shared" si="5"/>
        <v>0</v>
      </c>
      <c r="K43" s="32">
        <f t="shared" si="5"/>
        <v>0</v>
      </c>
      <c r="L43" s="32">
        <f t="shared" si="5"/>
        <v>0</v>
      </c>
      <c r="M43" s="34"/>
    </row>
    <row r="45" spans="1:13" ht="14.55" customHeight="1" x14ac:dyDescent="0.3">
      <c r="A45" s="67" t="s">
        <v>31</v>
      </c>
      <c r="B45" s="61" t="s">
        <v>11</v>
      </c>
      <c r="C45" s="61" t="s">
        <v>66</v>
      </c>
      <c r="D45" s="61" t="s">
        <v>67</v>
      </c>
      <c r="E45" s="61" t="s">
        <v>68</v>
      </c>
      <c r="F45" s="61" t="s">
        <v>69</v>
      </c>
      <c r="G45" s="61" t="s">
        <v>70</v>
      </c>
      <c r="H45" s="61" t="s">
        <v>71</v>
      </c>
      <c r="I45" s="61" t="s">
        <v>72</v>
      </c>
      <c r="J45" s="61" t="s">
        <v>73</v>
      </c>
      <c r="K45" s="61" t="s">
        <v>74</v>
      </c>
      <c r="L45" s="61" t="s">
        <v>75</v>
      </c>
      <c r="M45" s="72" t="s">
        <v>23</v>
      </c>
    </row>
    <row r="46" spans="1:13" ht="14.55" customHeight="1" x14ac:dyDescent="0.3">
      <c r="A46" s="30">
        <v>45987</v>
      </c>
      <c r="B46" s="49">
        <f>SUM(C46:L46)</f>
        <v>0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5"/>
    </row>
    <row r="47" spans="1:13" ht="14.55" customHeight="1" x14ac:dyDescent="0.3">
      <c r="A47" s="30">
        <v>45988</v>
      </c>
      <c r="B47" s="49">
        <f t="shared" ref="B47:B60" si="6">SUM(C47:L47)</f>
        <v>0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5"/>
    </row>
    <row r="48" spans="1:13" ht="14.55" customHeight="1" x14ac:dyDescent="0.3">
      <c r="A48" s="30">
        <v>45989</v>
      </c>
      <c r="B48" s="49">
        <f t="shared" si="6"/>
        <v>0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5"/>
    </row>
    <row r="49" spans="1:13" ht="14.55" customHeight="1" x14ac:dyDescent="0.3">
      <c r="A49" s="30">
        <v>45990</v>
      </c>
      <c r="B49" s="49">
        <f t="shared" si="6"/>
        <v>0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5"/>
    </row>
    <row r="50" spans="1:13" ht="14.55" customHeight="1" x14ac:dyDescent="0.3">
      <c r="A50" s="30">
        <v>45991</v>
      </c>
      <c r="B50" s="49">
        <f t="shared" si="6"/>
        <v>0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5"/>
    </row>
    <row r="51" spans="1:13" ht="14.55" customHeight="1" x14ac:dyDescent="0.3">
      <c r="A51" s="30">
        <v>45992</v>
      </c>
      <c r="B51" s="49">
        <f t="shared" si="6"/>
        <v>0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5"/>
    </row>
    <row r="52" spans="1:13" ht="14.55" customHeight="1" x14ac:dyDescent="0.3">
      <c r="A52" s="30">
        <v>45993</v>
      </c>
      <c r="B52" s="49">
        <f t="shared" si="6"/>
        <v>0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5"/>
    </row>
    <row r="53" spans="1:13" ht="14.55" customHeight="1" x14ac:dyDescent="0.3">
      <c r="A53" s="30">
        <v>45994</v>
      </c>
      <c r="B53" s="49">
        <f t="shared" si="6"/>
        <v>0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5"/>
    </row>
    <row r="54" spans="1:13" ht="14.55" customHeight="1" x14ac:dyDescent="0.3">
      <c r="A54" s="30">
        <v>45995</v>
      </c>
      <c r="B54" s="49">
        <f t="shared" si="6"/>
        <v>0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5"/>
    </row>
    <row r="55" spans="1:13" ht="14.55" customHeight="1" x14ac:dyDescent="0.3">
      <c r="A55" s="30">
        <v>45996</v>
      </c>
      <c r="B55" s="49">
        <f t="shared" si="6"/>
        <v>0</v>
      </c>
      <c r="C55" s="6"/>
      <c r="D55" s="6"/>
      <c r="E55" s="6"/>
      <c r="F55" s="6"/>
      <c r="G55" s="6"/>
      <c r="H55" s="6"/>
      <c r="I55" s="6"/>
      <c r="J55" s="6"/>
      <c r="K55" s="6"/>
      <c r="L55" s="6"/>
      <c r="M55" s="5"/>
    </row>
    <row r="56" spans="1:13" ht="14.55" customHeight="1" x14ac:dyDescent="0.3">
      <c r="A56" s="30">
        <v>45997</v>
      </c>
      <c r="B56" s="49">
        <f t="shared" si="6"/>
        <v>0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5"/>
    </row>
    <row r="57" spans="1:13" ht="14.55" customHeight="1" x14ac:dyDescent="0.3">
      <c r="A57" s="30">
        <v>45998</v>
      </c>
      <c r="B57" s="49">
        <f t="shared" si="6"/>
        <v>0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5"/>
    </row>
    <row r="58" spans="1:13" ht="14.55" customHeight="1" x14ac:dyDescent="0.3">
      <c r="A58" s="30">
        <v>45999</v>
      </c>
      <c r="B58" s="49">
        <f t="shared" si="6"/>
        <v>0</v>
      </c>
      <c r="C58" s="6"/>
      <c r="D58" s="6"/>
      <c r="E58" s="6"/>
      <c r="F58" s="6"/>
      <c r="G58" s="6"/>
      <c r="H58" s="6"/>
      <c r="I58" s="6"/>
      <c r="J58" s="6"/>
      <c r="K58" s="6"/>
      <c r="L58" s="6"/>
      <c r="M58" s="5"/>
    </row>
    <row r="59" spans="1:13" ht="14.55" customHeight="1" x14ac:dyDescent="0.3">
      <c r="A59" s="30">
        <v>46000</v>
      </c>
      <c r="B59" s="49">
        <f t="shared" si="6"/>
        <v>0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13"/>
    </row>
    <row r="60" spans="1:13" ht="14.55" customHeight="1" x14ac:dyDescent="0.3">
      <c r="A60" s="30">
        <v>46001</v>
      </c>
      <c r="B60" s="49">
        <f t="shared" si="6"/>
        <v>0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13"/>
    </row>
    <row r="61" spans="1:13" ht="14.55" customHeight="1" x14ac:dyDescent="0.3">
      <c r="A61" s="62" t="s">
        <v>29</v>
      </c>
      <c r="B61" s="63">
        <f>SUM(B46:B60)</f>
        <v>0</v>
      </c>
      <c r="C61" s="63">
        <f>SUM(C46:C60)</f>
        <v>0</v>
      </c>
      <c r="D61" s="63">
        <f t="shared" ref="D61:L61" si="7">SUM(D46:D60)</f>
        <v>0</v>
      </c>
      <c r="E61" s="63">
        <f t="shared" si="7"/>
        <v>0</v>
      </c>
      <c r="F61" s="63">
        <f t="shared" si="7"/>
        <v>0</v>
      </c>
      <c r="G61" s="63">
        <f t="shared" si="7"/>
        <v>0</v>
      </c>
      <c r="H61" s="63">
        <f t="shared" si="7"/>
        <v>0</v>
      </c>
      <c r="I61" s="63">
        <f t="shared" si="7"/>
        <v>0</v>
      </c>
      <c r="J61" s="63">
        <f t="shared" si="7"/>
        <v>0</v>
      </c>
      <c r="K61" s="63">
        <f t="shared" si="7"/>
        <v>0</v>
      </c>
      <c r="L61" s="63">
        <f t="shared" si="7"/>
        <v>0</v>
      </c>
      <c r="M61" s="73"/>
    </row>
    <row r="62" spans="1:13" s="33" customFormat="1" ht="14.55" customHeight="1" x14ac:dyDescent="0.3">
      <c r="A62" s="31" t="s">
        <v>20</v>
      </c>
      <c r="B62" s="32">
        <f>B43+B61</f>
        <v>0</v>
      </c>
      <c r="C62" s="32">
        <f>SUM(C43,C61)</f>
        <v>0</v>
      </c>
      <c r="D62" s="32">
        <f t="shared" ref="D62:L62" si="8">SUM(D43,D61)</f>
        <v>0</v>
      </c>
      <c r="E62" s="32">
        <f t="shared" si="8"/>
        <v>0</v>
      </c>
      <c r="F62" s="32">
        <f t="shared" si="8"/>
        <v>0</v>
      </c>
      <c r="G62" s="32">
        <f t="shared" si="8"/>
        <v>0</v>
      </c>
      <c r="H62" s="32">
        <f t="shared" si="8"/>
        <v>0</v>
      </c>
      <c r="I62" s="32">
        <f t="shared" si="8"/>
        <v>0</v>
      </c>
      <c r="J62" s="32">
        <f t="shared" si="8"/>
        <v>0</v>
      </c>
      <c r="K62" s="32">
        <f t="shared" si="8"/>
        <v>0</v>
      </c>
      <c r="L62" s="32">
        <f t="shared" si="8"/>
        <v>0</v>
      </c>
      <c r="M62" s="3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BD5F7-3DD2-4792-AE8F-438430FAD41F}">
  <dimension ref="A1:M62"/>
  <sheetViews>
    <sheetView workbookViewId="0">
      <selection activeCell="M15" sqref="M15"/>
    </sheetView>
  </sheetViews>
  <sheetFormatPr defaultRowHeight="14.4" x14ac:dyDescent="0.3"/>
  <cols>
    <col min="1" max="1" width="35.77734375" style="28" customWidth="1"/>
    <col min="2" max="2" width="16.21875" style="27" bestFit="1" customWidth="1"/>
    <col min="3" max="12" width="5.6640625" style="27" customWidth="1"/>
    <col min="13" max="13" width="100.5546875" style="29" customWidth="1"/>
  </cols>
  <sheetData>
    <row r="1" spans="1:13" ht="14.55" customHeight="1" x14ac:dyDescent="0.3">
      <c r="A1" s="7" t="s">
        <v>82</v>
      </c>
    </row>
    <row r="2" spans="1:13" ht="14.55" customHeight="1" x14ac:dyDescent="0.3">
      <c r="A2" s="26"/>
    </row>
    <row r="3" spans="1:13" ht="14.55" customHeight="1" x14ac:dyDescent="0.3">
      <c r="A3" s="35" t="s">
        <v>18</v>
      </c>
    </row>
    <row r="4" spans="1:13" ht="14.55" customHeight="1" x14ac:dyDescent="0.3">
      <c r="A4" s="28" t="s">
        <v>21</v>
      </c>
      <c r="B4" s="76" t="s">
        <v>81</v>
      </c>
      <c r="C4" s="29"/>
      <c r="D4" s="29"/>
      <c r="E4" s="29"/>
      <c r="F4" s="29"/>
      <c r="G4" s="29"/>
      <c r="H4" s="29"/>
      <c r="I4" s="29"/>
      <c r="J4" s="29"/>
      <c r="K4" s="29"/>
      <c r="L4" s="29"/>
    </row>
    <row r="5" spans="1:13" ht="14.55" customHeight="1" x14ac:dyDescent="0.3">
      <c r="A5" s="28" t="s">
        <v>19</v>
      </c>
      <c r="B5" s="29" t="s">
        <v>22</v>
      </c>
      <c r="C5" s="29"/>
      <c r="D5" s="29"/>
      <c r="E5" s="29"/>
      <c r="F5" s="29"/>
      <c r="G5" s="29"/>
      <c r="H5" s="29"/>
      <c r="I5" s="29"/>
      <c r="J5" s="29"/>
      <c r="K5" s="29"/>
      <c r="L5" s="29"/>
    </row>
    <row r="7" spans="1:13" s="1" customFormat="1" ht="14.55" customHeight="1" x14ac:dyDescent="0.3">
      <c r="A7" s="64" t="s">
        <v>24</v>
      </c>
      <c r="B7" s="65" t="s">
        <v>11</v>
      </c>
      <c r="C7" s="65" t="s">
        <v>46</v>
      </c>
      <c r="D7" s="65" t="s">
        <v>47</v>
      </c>
      <c r="E7" s="65" t="s">
        <v>48</v>
      </c>
      <c r="F7" s="65" t="s">
        <v>49</v>
      </c>
      <c r="G7" s="65" t="s">
        <v>50</v>
      </c>
      <c r="H7" s="65" t="s">
        <v>51</v>
      </c>
      <c r="I7" s="65" t="s">
        <v>52</v>
      </c>
      <c r="J7" s="65" t="s">
        <v>53</v>
      </c>
      <c r="K7" s="65" t="s">
        <v>54</v>
      </c>
      <c r="L7" s="65" t="s">
        <v>55</v>
      </c>
      <c r="M7" s="68" t="s">
        <v>23</v>
      </c>
    </row>
    <row r="8" spans="1:13" s="1" customFormat="1" ht="14.55" customHeight="1" x14ac:dyDescent="0.3">
      <c r="A8" s="36">
        <v>45957</v>
      </c>
      <c r="B8" s="49">
        <f>SUM(C8:L8)</f>
        <v>0</v>
      </c>
      <c r="C8" s="6"/>
      <c r="D8" s="6"/>
      <c r="E8" s="6"/>
      <c r="F8" s="6"/>
      <c r="G8" s="6"/>
      <c r="H8" s="6"/>
      <c r="I8" s="6"/>
      <c r="J8" s="6"/>
      <c r="K8" s="6"/>
      <c r="L8" s="6"/>
      <c r="M8" s="5"/>
    </row>
    <row r="9" spans="1:13" s="1" customFormat="1" ht="14.55" customHeight="1" x14ac:dyDescent="0.3">
      <c r="A9" s="36">
        <v>45958</v>
      </c>
      <c r="B9" s="49">
        <f t="shared" ref="B9:B22" si="0">SUM(C9:L9)</f>
        <v>0</v>
      </c>
      <c r="C9" s="6"/>
      <c r="D9" s="6"/>
      <c r="E9" s="6"/>
      <c r="F9" s="6"/>
      <c r="G9" s="6"/>
      <c r="H9" s="6"/>
      <c r="I9" s="6"/>
      <c r="J9" s="6"/>
      <c r="K9" s="6"/>
      <c r="L9" s="6"/>
      <c r="M9" s="5"/>
    </row>
    <row r="10" spans="1:13" s="1" customFormat="1" ht="14.55" customHeight="1" x14ac:dyDescent="0.3">
      <c r="A10" s="36">
        <v>45959</v>
      </c>
      <c r="B10" s="49">
        <f t="shared" si="0"/>
        <v>0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5"/>
    </row>
    <row r="11" spans="1:13" s="1" customFormat="1" ht="14.55" customHeight="1" x14ac:dyDescent="0.3">
      <c r="A11" s="36">
        <v>45960</v>
      </c>
      <c r="B11" s="49">
        <f t="shared" si="0"/>
        <v>0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5"/>
    </row>
    <row r="12" spans="1:13" s="1" customFormat="1" ht="14.55" customHeight="1" x14ac:dyDescent="0.3">
      <c r="A12" s="36">
        <v>45961</v>
      </c>
      <c r="B12" s="49">
        <f t="shared" si="0"/>
        <v>0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5"/>
    </row>
    <row r="13" spans="1:13" s="1" customFormat="1" ht="14.55" customHeight="1" x14ac:dyDescent="0.3">
      <c r="A13" s="36">
        <v>45962</v>
      </c>
      <c r="B13" s="49">
        <f t="shared" si="0"/>
        <v>0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5"/>
    </row>
    <row r="14" spans="1:13" s="1" customFormat="1" ht="14.55" customHeight="1" x14ac:dyDescent="0.3">
      <c r="A14" s="36">
        <v>45963</v>
      </c>
      <c r="B14" s="49">
        <f t="shared" si="0"/>
        <v>0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5"/>
    </row>
    <row r="15" spans="1:13" ht="14.55" customHeight="1" x14ac:dyDescent="0.3">
      <c r="A15" s="36">
        <v>45964</v>
      </c>
      <c r="B15" s="49">
        <f t="shared" si="0"/>
        <v>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13"/>
    </row>
    <row r="16" spans="1:13" ht="14.55" customHeight="1" x14ac:dyDescent="0.3">
      <c r="A16" s="36">
        <v>45965</v>
      </c>
      <c r="B16" s="49">
        <f t="shared" si="0"/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13"/>
    </row>
    <row r="17" spans="1:13" ht="14.55" customHeight="1" x14ac:dyDescent="0.3">
      <c r="A17" s="36">
        <v>45966</v>
      </c>
      <c r="B17" s="49">
        <f t="shared" si="0"/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13"/>
    </row>
    <row r="18" spans="1:13" ht="14.55" customHeight="1" x14ac:dyDescent="0.3">
      <c r="A18" s="36">
        <v>45967</v>
      </c>
      <c r="B18" s="49">
        <f t="shared" si="0"/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13"/>
    </row>
    <row r="19" spans="1:13" ht="14.55" customHeight="1" x14ac:dyDescent="0.3">
      <c r="A19" s="36">
        <v>45968</v>
      </c>
      <c r="B19" s="49">
        <f t="shared" si="0"/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13"/>
    </row>
    <row r="20" spans="1:13" ht="14.55" customHeight="1" x14ac:dyDescent="0.3">
      <c r="A20" s="36">
        <v>45969</v>
      </c>
      <c r="B20" s="49">
        <f t="shared" si="0"/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13"/>
    </row>
    <row r="21" spans="1:13" ht="14.55" customHeight="1" x14ac:dyDescent="0.3">
      <c r="A21" s="36">
        <v>45970</v>
      </c>
      <c r="B21" s="49">
        <f t="shared" si="0"/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13"/>
    </row>
    <row r="22" spans="1:13" ht="14.55" customHeight="1" x14ac:dyDescent="0.3">
      <c r="A22" s="36">
        <v>45971</v>
      </c>
      <c r="B22" s="49">
        <f t="shared" si="0"/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13"/>
    </row>
    <row r="23" spans="1:13" ht="14.55" customHeight="1" x14ac:dyDescent="0.3">
      <c r="A23" s="45" t="s">
        <v>29</v>
      </c>
      <c r="B23" s="46">
        <f>SUM(B8:B22)</f>
        <v>0</v>
      </c>
      <c r="C23" s="46">
        <f>SUM(C8:C22)</f>
        <v>0</v>
      </c>
      <c r="D23" s="46">
        <f t="shared" ref="D23:L23" si="1">SUM(D8:D22)</f>
        <v>0</v>
      </c>
      <c r="E23" s="46">
        <f t="shared" si="1"/>
        <v>0</v>
      </c>
      <c r="F23" s="46">
        <f t="shared" si="1"/>
        <v>0</v>
      </c>
      <c r="G23" s="46">
        <f t="shared" si="1"/>
        <v>0</v>
      </c>
      <c r="H23" s="46">
        <f t="shared" si="1"/>
        <v>0</v>
      </c>
      <c r="I23" s="46">
        <f t="shared" si="1"/>
        <v>0</v>
      </c>
      <c r="J23" s="46">
        <f t="shared" si="1"/>
        <v>0</v>
      </c>
      <c r="K23" s="46">
        <f t="shared" si="1"/>
        <v>0</v>
      </c>
      <c r="L23" s="46">
        <f t="shared" si="1"/>
        <v>0</v>
      </c>
      <c r="M23" s="69"/>
    </row>
    <row r="24" spans="1:13" s="33" customFormat="1" ht="14.55" customHeight="1" x14ac:dyDescent="0.3">
      <c r="A24" s="31" t="s">
        <v>20</v>
      </c>
      <c r="B24" s="32">
        <f>B23</f>
        <v>0</v>
      </c>
      <c r="C24" s="32">
        <f>C23</f>
        <v>0</v>
      </c>
      <c r="D24" s="32">
        <f t="shared" ref="D24:L24" si="2">D23</f>
        <v>0</v>
      </c>
      <c r="E24" s="32">
        <f t="shared" si="2"/>
        <v>0</v>
      </c>
      <c r="F24" s="32">
        <f t="shared" si="2"/>
        <v>0</v>
      </c>
      <c r="G24" s="32">
        <f t="shared" si="2"/>
        <v>0</v>
      </c>
      <c r="H24" s="32">
        <f t="shared" si="2"/>
        <v>0</v>
      </c>
      <c r="I24" s="32">
        <f t="shared" si="2"/>
        <v>0</v>
      </c>
      <c r="J24" s="32">
        <f t="shared" si="2"/>
        <v>0</v>
      </c>
      <c r="K24" s="32">
        <f t="shared" si="2"/>
        <v>0</v>
      </c>
      <c r="L24" s="32">
        <f t="shared" si="2"/>
        <v>0</v>
      </c>
      <c r="M24" s="34"/>
    </row>
    <row r="26" spans="1:13" ht="14.55" customHeight="1" x14ac:dyDescent="0.3">
      <c r="A26" s="66" t="s">
        <v>30</v>
      </c>
      <c r="B26" s="57" t="s">
        <v>11</v>
      </c>
      <c r="C26" s="57" t="s">
        <v>56</v>
      </c>
      <c r="D26" s="57" t="s">
        <v>57</v>
      </c>
      <c r="E26" s="57" t="s">
        <v>58</v>
      </c>
      <c r="F26" s="57" t="s">
        <v>59</v>
      </c>
      <c r="G26" s="57" t="s">
        <v>60</v>
      </c>
      <c r="H26" s="57" t="s">
        <v>61</v>
      </c>
      <c r="I26" s="57" t="s">
        <v>62</v>
      </c>
      <c r="J26" s="57" t="s">
        <v>63</v>
      </c>
      <c r="K26" s="57" t="s">
        <v>64</v>
      </c>
      <c r="L26" s="57" t="s">
        <v>65</v>
      </c>
      <c r="M26" s="70" t="s">
        <v>23</v>
      </c>
    </row>
    <row r="27" spans="1:13" ht="14.55" customHeight="1" x14ac:dyDescent="0.3">
      <c r="A27" s="30">
        <v>45972</v>
      </c>
      <c r="B27" s="49">
        <f>SUM(C27:L27)</f>
        <v>0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5"/>
    </row>
    <row r="28" spans="1:13" ht="14.55" customHeight="1" x14ac:dyDescent="0.3">
      <c r="A28" s="30">
        <v>45973</v>
      </c>
      <c r="B28" s="49">
        <f t="shared" ref="B28:B41" si="3">SUM(C28:L28)</f>
        <v>0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5"/>
    </row>
    <row r="29" spans="1:13" ht="14.55" customHeight="1" x14ac:dyDescent="0.3">
      <c r="A29" s="30">
        <v>45974</v>
      </c>
      <c r="B29" s="49">
        <f t="shared" si="3"/>
        <v>0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5"/>
    </row>
    <row r="30" spans="1:13" ht="14.55" customHeight="1" x14ac:dyDescent="0.3">
      <c r="A30" s="30">
        <v>45975</v>
      </c>
      <c r="B30" s="49">
        <f t="shared" si="3"/>
        <v>0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5"/>
    </row>
    <row r="31" spans="1:13" ht="14.55" customHeight="1" x14ac:dyDescent="0.3">
      <c r="A31" s="30">
        <v>45976</v>
      </c>
      <c r="B31" s="49">
        <f t="shared" si="3"/>
        <v>0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5"/>
    </row>
    <row r="32" spans="1:13" ht="14.55" customHeight="1" x14ac:dyDescent="0.3">
      <c r="A32" s="30">
        <v>45977</v>
      </c>
      <c r="B32" s="49">
        <f t="shared" si="3"/>
        <v>0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5"/>
    </row>
    <row r="33" spans="1:13" ht="14.55" customHeight="1" x14ac:dyDescent="0.3">
      <c r="A33" s="30">
        <v>45978</v>
      </c>
      <c r="B33" s="49">
        <f t="shared" si="3"/>
        <v>0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5"/>
    </row>
    <row r="34" spans="1:13" ht="14.55" customHeight="1" x14ac:dyDescent="0.3">
      <c r="A34" s="30">
        <v>45979</v>
      </c>
      <c r="B34" s="49">
        <f t="shared" si="3"/>
        <v>0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5"/>
    </row>
    <row r="35" spans="1:13" ht="14.55" customHeight="1" x14ac:dyDescent="0.3">
      <c r="A35" s="30">
        <v>45980</v>
      </c>
      <c r="B35" s="49">
        <f t="shared" si="3"/>
        <v>0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5"/>
    </row>
    <row r="36" spans="1:13" ht="14.55" customHeight="1" x14ac:dyDescent="0.3">
      <c r="A36" s="30">
        <v>45981</v>
      </c>
      <c r="B36" s="49">
        <f t="shared" si="3"/>
        <v>0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5"/>
    </row>
    <row r="37" spans="1:13" ht="14.55" customHeight="1" x14ac:dyDescent="0.3">
      <c r="A37" s="30">
        <v>45982</v>
      </c>
      <c r="B37" s="49">
        <f t="shared" si="3"/>
        <v>0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5"/>
    </row>
    <row r="38" spans="1:13" ht="14.55" customHeight="1" x14ac:dyDescent="0.3">
      <c r="A38" s="30">
        <v>45983</v>
      </c>
      <c r="B38" s="49">
        <f t="shared" si="3"/>
        <v>0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5"/>
    </row>
    <row r="39" spans="1:13" ht="14.55" customHeight="1" x14ac:dyDescent="0.3">
      <c r="A39" s="30">
        <v>45984</v>
      </c>
      <c r="B39" s="49">
        <f t="shared" si="3"/>
        <v>0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5"/>
    </row>
    <row r="40" spans="1:13" ht="14.55" customHeight="1" x14ac:dyDescent="0.3">
      <c r="A40" s="30">
        <v>45985</v>
      </c>
      <c r="B40" s="49">
        <f t="shared" si="3"/>
        <v>0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5"/>
    </row>
    <row r="41" spans="1:13" ht="14.55" customHeight="1" x14ac:dyDescent="0.3">
      <c r="A41" s="30">
        <v>45986</v>
      </c>
      <c r="B41" s="49">
        <f t="shared" si="3"/>
        <v>0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5"/>
    </row>
    <row r="42" spans="1:13" ht="14.55" customHeight="1" x14ac:dyDescent="0.3">
      <c r="A42" s="47" t="s">
        <v>29</v>
      </c>
      <c r="B42" s="48">
        <f>SUM(B27:B41)</f>
        <v>0</v>
      </c>
      <c r="C42" s="48">
        <f>SUM(C27:C41)</f>
        <v>0</v>
      </c>
      <c r="D42" s="48">
        <f t="shared" ref="D42:L42" si="4">SUM(D27:D41)</f>
        <v>0</v>
      </c>
      <c r="E42" s="48">
        <f t="shared" si="4"/>
        <v>0</v>
      </c>
      <c r="F42" s="48">
        <f t="shared" si="4"/>
        <v>0</v>
      </c>
      <c r="G42" s="48">
        <f t="shared" si="4"/>
        <v>0</v>
      </c>
      <c r="H42" s="48">
        <f t="shared" si="4"/>
        <v>0</v>
      </c>
      <c r="I42" s="48">
        <f t="shared" si="4"/>
        <v>0</v>
      </c>
      <c r="J42" s="48">
        <f t="shared" si="4"/>
        <v>0</v>
      </c>
      <c r="K42" s="48">
        <f t="shared" si="4"/>
        <v>0</v>
      </c>
      <c r="L42" s="48">
        <f t="shared" si="4"/>
        <v>0</v>
      </c>
      <c r="M42" s="71"/>
    </row>
    <row r="43" spans="1:13" s="33" customFormat="1" ht="14.55" customHeight="1" x14ac:dyDescent="0.3">
      <c r="A43" s="31" t="s">
        <v>20</v>
      </c>
      <c r="B43" s="32">
        <f>B24+B42</f>
        <v>0</v>
      </c>
      <c r="C43" s="32">
        <f>SUM(C24,C42)</f>
        <v>0</v>
      </c>
      <c r="D43" s="32">
        <f t="shared" ref="D43:L43" si="5">SUM(D24,D42)</f>
        <v>0</v>
      </c>
      <c r="E43" s="32">
        <f t="shared" si="5"/>
        <v>0</v>
      </c>
      <c r="F43" s="32">
        <f t="shared" si="5"/>
        <v>0</v>
      </c>
      <c r="G43" s="32">
        <f t="shared" si="5"/>
        <v>0</v>
      </c>
      <c r="H43" s="32">
        <f t="shared" si="5"/>
        <v>0</v>
      </c>
      <c r="I43" s="32">
        <f t="shared" si="5"/>
        <v>0</v>
      </c>
      <c r="J43" s="32">
        <f t="shared" si="5"/>
        <v>0</v>
      </c>
      <c r="K43" s="32">
        <f t="shared" si="5"/>
        <v>0</v>
      </c>
      <c r="L43" s="32">
        <f t="shared" si="5"/>
        <v>0</v>
      </c>
      <c r="M43" s="34"/>
    </row>
    <row r="45" spans="1:13" ht="14.55" customHeight="1" x14ac:dyDescent="0.3">
      <c r="A45" s="67" t="s">
        <v>31</v>
      </c>
      <c r="B45" s="61" t="s">
        <v>11</v>
      </c>
      <c r="C45" s="61" t="s">
        <v>66</v>
      </c>
      <c r="D45" s="61" t="s">
        <v>67</v>
      </c>
      <c r="E45" s="61" t="s">
        <v>68</v>
      </c>
      <c r="F45" s="61" t="s">
        <v>69</v>
      </c>
      <c r="G45" s="61" t="s">
        <v>70</v>
      </c>
      <c r="H45" s="61" t="s">
        <v>71</v>
      </c>
      <c r="I45" s="61" t="s">
        <v>72</v>
      </c>
      <c r="J45" s="61" t="s">
        <v>73</v>
      </c>
      <c r="K45" s="61" t="s">
        <v>74</v>
      </c>
      <c r="L45" s="61" t="s">
        <v>75</v>
      </c>
      <c r="M45" s="72" t="s">
        <v>23</v>
      </c>
    </row>
    <row r="46" spans="1:13" ht="14.55" customHeight="1" x14ac:dyDescent="0.3">
      <c r="A46" s="30">
        <v>45987</v>
      </c>
      <c r="B46" s="49">
        <f>SUM(C46:L46)</f>
        <v>0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5"/>
    </row>
    <row r="47" spans="1:13" ht="14.55" customHeight="1" x14ac:dyDescent="0.3">
      <c r="A47" s="30">
        <v>45988</v>
      </c>
      <c r="B47" s="49">
        <f t="shared" ref="B47:B60" si="6">SUM(C47:L47)</f>
        <v>0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5"/>
    </row>
    <row r="48" spans="1:13" ht="14.55" customHeight="1" x14ac:dyDescent="0.3">
      <c r="A48" s="30">
        <v>45989</v>
      </c>
      <c r="B48" s="49">
        <f t="shared" si="6"/>
        <v>0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5"/>
    </row>
    <row r="49" spans="1:13" ht="14.55" customHeight="1" x14ac:dyDescent="0.3">
      <c r="A49" s="30">
        <v>45990</v>
      </c>
      <c r="B49" s="49">
        <f t="shared" si="6"/>
        <v>0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5"/>
    </row>
    <row r="50" spans="1:13" ht="14.55" customHeight="1" x14ac:dyDescent="0.3">
      <c r="A50" s="30">
        <v>45991</v>
      </c>
      <c r="B50" s="49">
        <f t="shared" si="6"/>
        <v>0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5"/>
    </row>
    <row r="51" spans="1:13" ht="14.55" customHeight="1" x14ac:dyDescent="0.3">
      <c r="A51" s="30">
        <v>45992</v>
      </c>
      <c r="B51" s="49">
        <f t="shared" si="6"/>
        <v>0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5"/>
    </row>
    <row r="52" spans="1:13" ht="14.55" customHeight="1" x14ac:dyDescent="0.3">
      <c r="A52" s="30">
        <v>45993</v>
      </c>
      <c r="B52" s="49">
        <f t="shared" si="6"/>
        <v>0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5"/>
    </row>
    <row r="53" spans="1:13" ht="14.55" customHeight="1" x14ac:dyDescent="0.3">
      <c r="A53" s="30">
        <v>45994</v>
      </c>
      <c r="B53" s="49">
        <f t="shared" si="6"/>
        <v>0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5"/>
    </row>
    <row r="54" spans="1:13" ht="14.55" customHeight="1" x14ac:dyDescent="0.3">
      <c r="A54" s="30">
        <v>45995</v>
      </c>
      <c r="B54" s="49">
        <f t="shared" si="6"/>
        <v>0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5"/>
    </row>
    <row r="55" spans="1:13" ht="14.55" customHeight="1" x14ac:dyDescent="0.3">
      <c r="A55" s="30">
        <v>45996</v>
      </c>
      <c r="B55" s="49">
        <f t="shared" si="6"/>
        <v>0</v>
      </c>
      <c r="C55" s="6"/>
      <c r="D55" s="6"/>
      <c r="E55" s="6"/>
      <c r="F55" s="6"/>
      <c r="G55" s="6"/>
      <c r="H55" s="6"/>
      <c r="I55" s="6"/>
      <c r="J55" s="6"/>
      <c r="K55" s="6"/>
      <c r="L55" s="6"/>
      <c r="M55" s="5"/>
    </row>
    <row r="56" spans="1:13" ht="14.55" customHeight="1" x14ac:dyDescent="0.3">
      <c r="A56" s="30">
        <v>45997</v>
      </c>
      <c r="B56" s="49">
        <f t="shared" si="6"/>
        <v>0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5"/>
    </row>
    <row r="57" spans="1:13" ht="14.55" customHeight="1" x14ac:dyDescent="0.3">
      <c r="A57" s="30">
        <v>45998</v>
      </c>
      <c r="B57" s="49">
        <f t="shared" si="6"/>
        <v>0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5"/>
    </row>
    <row r="58" spans="1:13" ht="14.55" customHeight="1" x14ac:dyDescent="0.3">
      <c r="A58" s="30">
        <v>45999</v>
      </c>
      <c r="B58" s="49">
        <f t="shared" si="6"/>
        <v>0</v>
      </c>
      <c r="C58" s="6"/>
      <c r="D58" s="6"/>
      <c r="E58" s="6"/>
      <c r="F58" s="6"/>
      <c r="G58" s="6"/>
      <c r="H58" s="6"/>
      <c r="I58" s="6"/>
      <c r="J58" s="6"/>
      <c r="K58" s="6"/>
      <c r="L58" s="6"/>
      <c r="M58" s="5"/>
    </row>
    <row r="59" spans="1:13" ht="14.55" customHeight="1" x14ac:dyDescent="0.3">
      <c r="A59" s="30">
        <v>46000</v>
      </c>
      <c r="B59" s="49">
        <f t="shared" si="6"/>
        <v>0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13"/>
    </row>
    <row r="60" spans="1:13" ht="14.55" customHeight="1" x14ac:dyDescent="0.3">
      <c r="A60" s="30">
        <v>46001</v>
      </c>
      <c r="B60" s="49">
        <f t="shared" si="6"/>
        <v>0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13"/>
    </row>
    <row r="61" spans="1:13" ht="14.55" customHeight="1" x14ac:dyDescent="0.3">
      <c r="A61" s="62" t="s">
        <v>29</v>
      </c>
      <c r="B61" s="63">
        <f>SUM(B46:B60)</f>
        <v>0</v>
      </c>
      <c r="C61" s="63">
        <f>SUM(C46:C60)</f>
        <v>0</v>
      </c>
      <c r="D61" s="63">
        <f t="shared" ref="D61:L61" si="7">SUM(D46:D60)</f>
        <v>0</v>
      </c>
      <c r="E61" s="63">
        <f t="shared" si="7"/>
        <v>0</v>
      </c>
      <c r="F61" s="63">
        <f t="shared" si="7"/>
        <v>0</v>
      </c>
      <c r="G61" s="63">
        <f t="shared" si="7"/>
        <v>0</v>
      </c>
      <c r="H61" s="63">
        <f t="shared" si="7"/>
        <v>0</v>
      </c>
      <c r="I61" s="63">
        <f t="shared" si="7"/>
        <v>0</v>
      </c>
      <c r="J61" s="63">
        <f t="shared" si="7"/>
        <v>0</v>
      </c>
      <c r="K61" s="63">
        <f t="shared" si="7"/>
        <v>0</v>
      </c>
      <c r="L61" s="63">
        <f t="shared" si="7"/>
        <v>0</v>
      </c>
      <c r="M61" s="73"/>
    </row>
    <row r="62" spans="1:13" s="33" customFormat="1" ht="14.55" customHeight="1" x14ac:dyDescent="0.3">
      <c r="A62" s="31" t="s">
        <v>20</v>
      </c>
      <c r="B62" s="32">
        <f>B43+B61</f>
        <v>0</v>
      </c>
      <c r="C62" s="32">
        <f>SUM(C43,C61)</f>
        <v>0</v>
      </c>
      <c r="D62" s="32">
        <f t="shared" ref="D62:L62" si="8">SUM(D43,D61)</f>
        <v>0</v>
      </c>
      <c r="E62" s="32">
        <f t="shared" si="8"/>
        <v>0</v>
      </c>
      <c r="F62" s="32">
        <f t="shared" si="8"/>
        <v>0</v>
      </c>
      <c r="G62" s="32">
        <f t="shared" si="8"/>
        <v>0</v>
      </c>
      <c r="H62" s="32">
        <f t="shared" si="8"/>
        <v>0</v>
      </c>
      <c r="I62" s="32">
        <f t="shared" si="8"/>
        <v>0</v>
      </c>
      <c r="J62" s="32">
        <f t="shared" si="8"/>
        <v>0</v>
      </c>
      <c r="K62" s="32">
        <f t="shared" si="8"/>
        <v>0</v>
      </c>
      <c r="L62" s="32">
        <f t="shared" si="8"/>
        <v>0</v>
      </c>
      <c r="M62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Sprintti 1</vt:lpstr>
      <vt:lpstr>Sprintti 2</vt:lpstr>
      <vt:lpstr>Sprintti 3</vt:lpstr>
      <vt:lpstr>Työaika ryhmä</vt:lpstr>
      <vt:lpstr>Työaika jäsen 1</vt:lpstr>
      <vt:lpstr>Työaika jäsen 2</vt:lpstr>
      <vt:lpstr>Työaika jäsen 3</vt:lpstr>
      <vt:lpstr>Työaika jäsen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Soini</dc:creator>
  <cp:lastModifiedBy>Artem Lukianenkov</cp:lastModifiedBy>
  <cp:lastPrinted>2024-10-22T08:27:33Z</cp:lastPrinted>
  <dcterms:created xsi:type="dcterms:W3CDTF">2015-06-05T18:17:20Z</dcterms:created>
  <dcterms:modified xsi:type="dcterms:W3CDTF">2025-10-27T21:24:07Z</dcterms:modified>
</cp:coreProperties>
</file>